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ACROSS_YEARS" sheetId="3" state="visible" r:id="rId3"/>
    <sheet xmlns:r="http://schemas.openxmlformats.org/officeDocument/2006/relationships" name="ACROSS_SE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FFFFFF"/>
      <sz val="16"/>
    </font>
    <font>
      <b val="1"/>
      <color rgb="00FFFFFF"/>
      <sz val="12"/>
    </font>
    <font>
      <b val="1"/>
      <color rgb="001F3864"/>
      <sz val="11"/>
    </font>
    <font>
      <color rgb="00404040"/>
      <sz val="10"/>
    </font>
    <font>
      <b val="1"/>
      <color rgb="00FFFFFF"/>
      <sz val="14"/>
    </font>
    <font>
      <i val="1"/>
      <color rgb="002E75B6"/>
      <sz val="10"/>
    </font>
    <font>
      <b val="1"/>
      <sz val="10"/>
    </font>
    <font>
      <b val="1"/>
      <color rgb="002E75B6"/>
      <sz val="10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4B94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7" borderId="1" applyAlignment="1" pivotButton="0" quotePrefix="0" xfId="0">
      <alignment horizontal="center"/>
    </xf>
    <xf numFmtId="0" fontId="11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11" fillId="7" borderId="1" pivotButton="0" quotePrefix="0" xfId="0"/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'ACROSS_YEARS'!B7</f>
            </strRef>
          </tx>
          <spPr>
            <a:ln xmlns:a="http://schemas.openxmlformats.org/drawingml/2006/main" w="25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'ACROSS_YEARS'!$B$8:$B$23</f>
            </numRef>
          </val>
          <smooth val="1"/>
        </ser>
        <smooth val="1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'ACROSS_SECTORS'!B7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'ACROSS_SECTORS'!$A$8:$A$18</f>
            </numRef>
          </cat>
          <val>
            <numRef>
              <f>'ACROSS_SECTORS'!$B$8:$B$18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2" customHeight="1">
      <c r="A1" s="1" t="inlineStr">
        <is>
          <t>Sector</t>
        </is>
      </c>
      <c r="B1" s="1" t="inlineStr">
        <is>
          <t>Year</t>
        </is>
      </c>
      <c r="C1" s="2" t="inlineStr">
        <is>
          <t>PE Ratio</t>
        </is>
      </c>
      <c r="D1" s="2" t="inlineStr">
        <is>
          <t>EV/EBITDA</t>
        </is>
      </c>
      <c r="E1" s="2" t="inlineStr">
        <is>
          <t>Price-to-Book</t>
        </is>
      </c>
      <c r="F1" s="2" t="inlineStr">
        <is>
          <t>PEG Ratio</t>
        </is>
      </c>
      <c r="G1" s="2" t="inlineStr">
        <is>
          <t>ROIC</t>
        </is>
      </c>
      <c r="H1" s="2" t="inlineStr">
        <is>
          <t>FCF Yield</t>
        </is>
      </c>
      <c r="I1" s="2" t="inlineStr">
        <is>
          <t>Dividend Yield</t>
        </is>
      </c>
      <c r="J1" s="2" t="inlineStr">
        <is>
          <t>Payout Ratio</t>
        </is>
      </c>
      <c r="K1" s="2" t="inlineStr">
        <is>
          <t>Current Ratio</t>
        </is>
      </c>
      <c r="L1" s="2" t="inlineStr">
        <is>
          <t>ROE</t>
        </is>
      </c>
      <c r="M1" s="2" t="inlineStr">
        <is>
          <t>Debt/Equity</t>
        </is>
      </c>
      <c r="N1" s="2" t="inlineStr">
        <is>
          <t>Net Profit Margin</t>
        </is>
      </c>
      <c r="O1" s="2" t="inlineStr">
        <is>
          <t>Gross Margin</t>
        </is>
      </c>
      <c r="P1" s="2" t="inlineStr">
        <is>
          <t>Revenue Growth</t>
        </is>
      </c>
      <c r="Q1" s="2" t="inlineStr">
        <is>
          <t>Net Income Growth</t>
        </is>
      </c>
    </row>
    <row r="2">
      <c r="A2" s="3" t="inlineStr">
        <is>
          <t>Basic Materials</t>
        </is>
      </c>
      <c r="B2" s="4" t="n">
        <v>2011</v>
      </c>
      <c r="C2" s="5" t="n">
        <v>11.195</v>
      </c>
      <c r="D2" s="5" t="n">
        <v>5.984</v>
      </c>
      <c r="E2" s="5" t="n">
        <v>1.411</v>
      </c>
      <c r="F2" s="5" t="n">
        <v>2.409</v>
      </c>
      <c r="G2" s="6" t="n">
        <v>-0.03</v>
      </c>
      <c r="H2" s="6" t="n">
        <v>-0.021</v>
      </c>
      <c r="I2" s="6" t="n">
        <v>0</v>
      </c>
      <c r="J2" s="6" t="n">
        <v>0</v>
      </c>
      <c r="K2" s="5" t="n">
        <v>2.391</v>
      </c>
      <c r="L2" s="6" t="n">
        <v>-0.029</v>
      </c>
      <c r="M2" s="5" t="n">
        <v>0.002</v>
      </c>
      <c r="N2" s="6" t="n">
        <v>0.052</v>
      </c>
      <c r="O2" s="6" t="n">
        <v>0.389</v>
      </c>
      <c r="P2" s="6" t="n"/>
      <c r="Q2" s="6" t="n"/>
    </row>
    <row r="3">
      <c r="A3" s="7" t="inlineStr">
        <is>
          <t>Basic Materials</t>
        </is>
      </c>
      <c r="B3" s="8" t="n">
        <v>2012</v>
      </c>
      <c r="C3" s="9" t="n">
        <v>16.232</v>
      </c>
      <c r="D3" s="9" t="n">
        <v>1.701</v>
      </c>
      <c r="E3" s="9" t="n">
        <v>1.381</v>
      </c>
      <c r="F3" s="9" t="n">
        <v>0.008</v>
      </c>
      <c r="G3" s="10" t="n">
        <v>-0.044</v>
      </c>
      <c r="H3" s="10" t="n">
        <v>-0.056</v>
      </c>
      <c r="I3" s="10" t="n">
        <v>0</v>
      </c>
      <c r="J3" s="10" t="n">
        <v>0</v>
      </c>
      <c r="K3" s="9" t="n">
        <v>2.279</v>
      </c>
      <c r="L3" s="10" t="n">
        <v>-0.052</v>
      </c>
      <c r="M3" s="9" t="n">
        <v>0.038</v>
      </c>
      <c r="N3" s="10" t="n">
        <v>0.017</v>
      </c>
      <c r="O3" s="10" t="n">
        <v>0.34</v>
      </c>
      <c r="P3" s="10" t="n">
        <v>-0.004</v>
      </c>
      <c r="Q3" s="10" t="n">
        <v>-0.22</v>
      </c>
    </row>
    <row r="4">
      <c r="A4" s="3" t="inlineStr">
        <is>
          <t>Basic Materials</t>
        </is>
      </c>
      <c r="B4" s="4" t="n">
        <v>2013</v>
      </c>
      <c r="C4" s="5" t="n">
        <v>19.911</v>
      </c>
      <c r="D4" s="5" t="n">
        <v>0.618</v>
      </c>
      <c r="E4" s="5" t="n">
        <v>1.462</v>
      </c>
      <c r="F4" s="5" t="n">
        <v>0.019</v>
      </c>
      <c r="G4" s="6" t="n">
        <v>-0.049</v>
      </c>
      <c r="H4" s="6" t="n">
        <v>-0.028</v>
      </c>
      <c r="I4" s="6" t="n">
        <v>0</v>
      </c>
      <c r="J4" s="6" t="n">
        <v>0</v>
      </c>
      <c r="K4" s="5" t="n">
        <v>1.943</v>
      </c>
      <c r="L4" s="6" t="n">
        <v>-0.05</v>
      </c>
      <c r="M4" s="5" t="n">
        <v>0.054</v>
      </c>
      <c r="N4" s="6" t="n">
        <v>0.028</v>
      </c>
      <c r="O4" s="6" t="n">
        <v>0.337</v>
      </c>
      <c r="P4" s="6" t="n">
        <v>0.019</v>
      </c>
      <c r="Q4" s="6" t="n">
        <v>-0.095</v>
      </c>
    </row>
    <row r="5">
      <c r="A5" s="7" t="inlineStr">
        <is>
          <t>Basic Materials</t>
        </is>
      </c>
      <c r="B5" s="8" t="n">
        <v>2014</v>
      </c>
      <c r="C5" s="9" t="n">
        <v>26.213</v>
      </c>
      <c r="D5" s="9" t="n">
        <v>0.989</v>
      </c>
      <c r="E5" s="9" t="n">
        <v>1.61</v>
      </c>
      <c r="F5" s="9" t="n">
        <v>1.248</v>
      </c>
      <c r="G5" s="10" t="n">
        <v>-0.04</v>
      </c>
      <c r="H5" s="10" t="n">
        <v>-0.039</v>
      </c>
      <c r="I5" s="10" t="n">
        <v>0</v>
      </c>
      <c r="J5" s="10" t="n">
        <v>0</v>
      </c>
      <c r="K5" s="9" t="n">
        <v>1.999</v>
      </c>
      <c r="L5" s="10" t="n">
        <v>-0.048</v>
      </c>
      <c r="M5" s="9" t="n">
        <v>0.047</v>
      </c>
      <c r="N5" s="10" t="n">
        <v>0.038</v>
      </c>
      <c r="O5" s="10" t="n">
        <v>0.328</v>
      </c>
      <c r="P5" s="10" t="n">
        <v>0.054</v>
      </c>
      <c r="Q5" s="10" t="n">
        <v>-0.061</v>
      </c>
    </row>
    <row r="6">
      <c r="A6" s="3" t="inlineStr">
        <is>
          <t>Basic Materials</t>
        </is>
      </c>
      <c r="B6" s="4" t="n">
        <v>2015</v>
      </c>
      <c r="C6" s="5" t="n">
        <v>22.294</v>
      </c>
      <c r="D6" s="5" t="n">
        <v>0.065</v>
      </c>
      <c r="E6" s="5" t="n">
        <v>1.439</v>
      </c>
      <c r="F6" s="5" t="n">
        <v>0.035</v>
      </c>
      <c r="G6" s="6" t="n">
        <v>-0.005</v>
      </c>
      <c r="H6" s="6" t="n">
        <v>-0.029</v>
      </c>
      <c r="I6" s="6" t="n">
        <v>0</v>
      </c>
      <c r="J6" s="6" t="n">
        <v>0</v>
      </c>
      <c r="K6" s="5" t="n">
        <v>1.847</v>
      </c>
      <c r="L6" s="6" t="n">
        <v>-0.019</v>
      </c>
      <c r="M6" s="5" t="n">
        <v>0.063</v>
      </c>
      <c r="N6" s="6" t="n">
        <v>0.035</v>
      </c>
      <c r="O6" s="6" t="n">
        <v>0.349</v>
      </c>
      <c r="P6" s="6" t="n">
        <v>-0.06</v>
      </c>
      <c r="Q6" s="6" t="n">
        <v>-0.032</v>
      </c>
    </row>
    <row r="7">
      <c r="A7" s="7" t="inlineStr">
        <is>
          <t>Basic Materials</t>
        </is>
      </c>
      <c r="B7" s="8" t="n">
        <v>2016</v>
      </c>
      <c r="C7" s="9" t="n">
        <v>18.319</v>
      </c>
      <c r="D7" s="9" t="n">
        <v>1.274</v>
      </c>
      <c r="E7" s="9" t="n">
        <v>1.407</v>
      </c>
      <c r="F7" s="9" t="n">
        <v>0.639</v>
      </c>
      <c r="G7" s="10" t="n">
        <v>-0.006</v>
      </c>
      <c r="H7" s="10" t="n">
        <v>-0.02</v>
      </c>
      <c r="I7" s="10" t="n">
        <v>0</v>
      </c>
      <c r="J7" s="10" t="n">
        <v>0</v>
      </c>
      <c r="K7" s="9" t="n">
        <v>1.943</v>
      </c>
      <c r="L7" s="10" t="n">
        <v>0</v>
      </c>
      <c r="M7" s="9" t="n">
        <v>0.048</v>
      </c>
      <c r="N7" s="10" t="n">
        <v>0.07000000000000001</v>
      </c>
      <c r="O7" s="10" t="n">
        <v>0.344</v>
      </c>
      <c r="P7" s="10" t="n">
        <v>0.06</v>
      </c>
      <c r="Q7" s="10" t="n">
        <v>-0.003</v>
      </c>
    </row>
    <row r="8">
      <c r="A8" s="3" t="inlineStr">
        <is>
          <t>Basic Materials</t>
        </is>
      </c>
      <c r="B8" s="4" t="n">
        <v>2017</v>
      </c>
      <c r="C8" s="5" t="n">
        <v>25.457</v>
      </c>
      <c r="D8" s="5" t="n">
        <v>2.076</v>
      </c>
      <c r="E8" s="5" t="n">
        <v>1.535</v>
      </c>
      <c r="F8" s="5" t="n">
        <v>0.005</v>
      </c>
      <c r="G8" s="6" t="n">
        <v>-0.007</v>
      </c>
      <c r="H8" s="6" t="n">
        <v>-0.017</v>
      </c>
      <c r="I8" s="6" t="n">
        <v>0</v>
      </c>
      <c r="J8" s="6" t="n">
        <v>0</v>
      </c>
      <c r="K8" s="5" t="n">
        <v>2.064</v>
      </c>
      <c r="L8" s="6" t="n">
        <v>0.002</v>
      </c>
      <c r="M8" s="5" t="n">
        <v>0.124</v>
      </c>
      <c r="N8" s="6" t="n">
        <v>0.05</v>
      </c>
      <c r="O8" s="6" t="n">
        <v>0.354</v>
      </c>
      <c r="P8" s="6" t="n">
        <v>0.186</v>
      </c>
      <c r="Q8" s="6" t="n">
        <v>0.052</v>
      </c>
    </row>
    <row r="9">
      <c r="A9" s="7" t="inlineStr">
        <is>
          <t>Basic Materials</t>
        </is>
      </c>
      <c r="B9" s="8" t="n">
        <v>2018</v>
      </c>
      <c r="C9" s="9" t="n">
        <v>23.088</v>
      </c>
      <c r="D9" s="9" t="n">
        <v>1.422</v>
      </c>
      <c r="E9" s="9" t="n">
        <v>1.406</v>
      </c>
      <c r="F9" s="9" t="n">
        <v>0.004</v>
      </c>
      <c r="G9" s="10" t="n">
        <v>0</v>
      </c>
      <c r="H9" s="10" t="n">
        <v>-0.033</v>
      </c>
      <c r="I9" s="10" t="n">
        <v>0</v>
      </c>
      <c r="J9" s="10" t="n">
        <v>0</v>
      </c>
      <c r="K9" s="9" t="n">
        <v>2.03</v>
      </c>
      <c r="L9" s="10" t="n">
        <v>-0.037</v>
      </c>
      <c r="M9" s="9" t="n">
        <v>0.08400000000000001</v>
      </c>
      <c r="N9" s="10" t="n">
        <v>0.05</v>
      </c>
      <c r="O9" s="10" t="n">
        <v>0.372</v>
      </c>
      <c r="P9" s="10" t="n">
        <v>0.094</v>
      </c>
      <c r="Q9" s="10" t="n">
        <v>0.049</v>
      </c>
    </row>
    <row r="10">
      <c r="A10" s="3" t="inlineStr">
        <is>
          <t>Basic Materials</t>
        </is>
      </c>
      <c r="B10" s="4" t="n">
        <v>2019</v>
      </c>
      <c r="C10" s="5" t="n">
        <v>23.021</v>
      </c>
      <c r="D10" s="5" t="n">
        <v>0.645</v>
      </c>
      <c r="E10" s="5" t="n">
        <v>1.397</v>
      </c>
      <c r="F10" s="5" t="n">
        <v>32.101</v>
      </c>
      <c r="G10" s="6" t="n">
        <v>0.011</v>
      </c>
      <c r="H10" s="6" t="n">
        <v>-0.027</v>
      </c>
      <c r="I10" s="6" t="n">
        <v>0</v>
      </c>
      <c r="J10" s="6" t="n">
        <v>0</v>
      </c>
      <c r="K10" s="5" t="n">
        <v>1.692</v>
      </c>
      <c r="L10" s="6" t="n">
        <v>0</v>
      </c>
      <c r="M10" s="5" t="n">
        <v>0.105</v>
      </c>
      <c r="N10" s="6" t="n">
        <v>0.049</v>
      </c>
      <c r="O10" s="6" t="n">
        <v>0.336</v>
      </c>
      <c r="P10" s="6" t="n">
        <v>0.04</v>
      </c>
      <c r="Q10" s="6" t="n">
        <v>-0.078</v>
      </c>
    </row>
    <row r="11">
      <c r="A11" s="7" t="inlineStr">
        <is>
          <t>Basic Materials</t>
        </is>
      </c>
      <c r="B11" s="8" t="n">
        <v>2020</v>
      </c>
      <c r="C11" s="9" t="n">
        <v>32.641</v>
      </c>
      <c r="D11" s="9" t="n">
        <v>2.058</v>
      </c>
      <c r="E11" s="9" t="n">
        <v>1.551</v>
      </c>
      <c r="F11" s="9" t="n">
        <v>0.423</v>
      </c>
      <c r="G11" s="10" t="n">
        <v>-0.008</v>
      </c>
      <c r="H11" s="10" t="n">
        <v>-0.002</v>
      </c>
      <c r="I11" s="10" t="n">
        <v>0</v>
      </c>
      <c r="J11" s="10" t="n">
        <v>0</v>
      </c>
      <c r="K11" s="9" t="n">
        <v>2.09</v>
      </c>
      <c r="L11" s="10" t="n">
        <v>-0.018</v>
      </c>
      <c r="M11" s="9" t="n">
        <v>0.112</v>
      </c>
      <c r="N11" s="10" t="n">
        <v>0.043</v>
      </c>
      <c r="O11" s="10" t="n">
        <v>0.326</v>
      </c>
      <c r="P11" s="10" t="n">
        <v>-0.036</v>
      </c>
      <c r="Q11" s="10" t="n">
        <v>-0.128</v>
      </c>
    </row>
    <row r="12">
      <c r="A12" s="3" t="inlineStr">
        <is>
          <t>Basic Materials</t>
        </is>
      </c>
      <c r="B12" s="4" t="n">
        <v>2021</v>
      </c>
      <c r="C12" s="5" t="n">
        <v>19.004</v>
      </c>
      <c r="D12" s="5" t="n">
        <v>0.907</v>
      </c>
      <c r="E12" s="5" t="n">
        <v>1.997</v>
      </c>
      <c r="F12" s="5" t="n">
        <v>0.005</v>
      </c>
      <c r="G12" s="6" t="n">
        <v>-0.05</v>
      </c>
      <c r="H12" s="6" t="n">
        <v>-0.026</v>
      </c>
      <c r="I12" s="6" t="n">
        <v>0</v>
      </c>
      <c r="J12" s="6" t="n">
        <v>0</v>
      </c>
      <c r="K12" s="5" t="n">
        <v>2.173</v>
      </c>
      <c r="L12" s="6" t="n">
        <v>-0.01</v>
      </c>
      <c r="M12" s="5" t="n">
        <v>0.04</v>
      </c>
      <c r="N12" s="6" t="n">
        <v>0.082</v>
      </c>
      <c r="O12" s="6" t="n">
        <v>0.34</v>
      </c>
      <c r="P12" s="6" t="n">
        <v>0.269</v>
      </c>
      <c r="Q12" s="6" t="n">
        <v>0.323</v>
      </c>
    </row>
    <row r="13">
      <c r="A13" s="7" t="inlineStr">
        <is>
          <t>Basic Materials</t>
        </is>
      </c>
      <c r="B13" s="8" t="n">
        <v>2022</v>
      </c>
      <c r="C13" s="9" t="n">
        <v>19.825</v>
      </c>
      <c r="D13" s="9" t="n">
        <v>0.305</v>
      </c>
      <c r="E13" s="9" t="n">
        <v>1.131</v>
      </c>
      <c r="F13" s="9" t="n">
        <v>0.484</v>
      </c>
      <c r="G13" s="10" t="n">
        <v>-0.017</v>
      </c>
      <c r="H13" s="10" t="n">
        <v>-0.061</v>
      </c>
      <c r="I13" s="10" t="n">
        <v>0</v>
      </c>
      <c r="J13" s="10" t="n">
        <v>0</v>
      </c>
      <c r="K13" s="9" t="n">
        <v>1.9</v>
      </c>
      <c r="L13" s="10" t="n">
        <v>-0.041</v>
      </c>
      <c r="M13" s="9" t="n">
        <v>0.08400000000000001</v>
      </c>
      <c r="N13" s="10" t="n">
        <v>0.056</v>
      </c>
      <c r="O13" s="10" t="n">
        <v>0.367</v>
      </c>
      <c r="P13" s="10" t="n">
        <v>0.08799999999999999</v>
      </c>
      <c r="Q13" s="10" t="n">
        <v>-0.121</v>
      </c>
    </row>
    <row r="14">
      <c r="A14" s="3" t="inlineStr">
        <is>
          <t>Basic Materials</t>
        </is>
      </c>
      <c r="B14" s="4" t="n">
        <v>2023</v>
      </c>
      <c r="C14" s="5" t="n">
        <v>23.078</v>
      </c>
      <c r="D14" s="5" t="n">
        <v>7.241</v>
      </c>
      <c r="E14" s="5" t="n">
        <v>1.003</v>
      </c>
      <c r="F14" s="5" t="n">
        <v>0.25</v>
      </c>
      <c r="G14" s="6" t="n">
        <v>-0.024</v>
      </c>
      <c r="H14" s="6" t="n">
        <v>-0.089</v>
      </c>
      <c r="I14" s="6" t="n">
        <v>0</v>
      </c>
      <c r="J14" s="6" t="n">
        <v>0</v>
      </c>
      <c r="K14" s="5" t="n">
        <v>1.839</v>
      </c>
      <c r="L14" s="6" t="n">
        <v>-0.033</v>
      </c>
      <c r="M14" s="5" t="n">
        <v>0.094</v>
      </c>
      <c r="N14" s="6" t="n">
        <v>0.026</v>
      </c>
      <c r="O14" s="6" t="n">
        <v>0.346</v>
      </c>
      <c r="P14" s="6" t="n">
        <v>-0.057</v>
      </c>
      <c r="Q14" s="6" t="n">
        <v>-0.235</v>
      </c>
    </row>
    <row r="15">
      <c r="A15" s="7" t="inlineStr">
        <is>
          <t>Basic Materials</t>
        </is>
      </c>
      <c r="B15" s="8" t="n">
        <v>2024</v>
      </c>
      <c r="C15" s="9" t="n">
        <v>19.688</v>
      </c>
      <c r="D15" s="9" t="n">
        <v>7.858</v>
      </c>
      <c r="E15" s="9" t="n">
        <v>0.982</v>
      </c>
      <c r="F15" s="9" t="n">
        <v>0.406</v>
      </c>
      <c r="G15" s="10" t="n">
        <v>-0.07199999999999999</v>
      </c>
      <c r="H15" s="10" t="n">
        <v>-0.037</v>
      </c>
      <c r="I15" s="10" t="n">
        <v>0</v>
      </c>
      <c r="J15" s="10" t="n">
        <v>0</v>
      </c>
      <c r="K15" s="9" t="n">
        <v>1.843</v>
      </c>
      <c r="L15" s="10" t="n">
        <v>-0.055</v>
      </c>
      <c r="M15" s="9" t="n">
        <v>0.095</v>
      </c>
      <c r="N15" s="10" t="n">
        <v>0.027</v>
      </c>
      <c r="O15" s="10" t="n">
        <v>0.343</v>
      </c>
      <c r="P15" s="10" t="n">
        <v>0.008</v>
      </c>
      <c r="Q15" s="10" t="n">
        <v>-0.19</v>
      </c>
    </row>
    <row r="16">
      <c r="A16" s="3" t="inlineStr">
        <is>
          <t>Basic Materials</t>
        </is>
      </c>
      <c r="B16" s="4" t="n">
        <v>2025</v>
      </c>
      <c r="C16" s="5" t="n">
        <v>6.027</v>
      </c>
      <c r="D16" s="5" t="n">
        <v>5.06</v>
      </c>
      <c r="E16" s="5" t="n">
        <v>1.44</v>
      </c>
      <c r="F16" s="5" t="n">
        <v>1.096</v>
      </c>
      <c r="G16" s="6" t="n">
        <v>0.041</v>
      </c>
      <c r="H16" s="6" t="n">
        <v>0.03</v>
      </c>
      <c r="I16" s="6" t="n">
        <v>0</v>
      </c>
      <c r="J16" s="6" t="n">
        <v>0</v>
      </c>
      <c r="K16" s="5" t="n">
        <v>1.987</v>
      </c>
      <c r="L16" s="6" t="n">
        <v>0.022</v>
      </c>
      <c r="M16" s="5" t="n">
        <v>0.224</v>
      </c>
      <c r="N16" s="6" t="n">
        <v>0.032</v>
      </c>
      <c r="O16" s="6" t="n">
        <v>0.332</v>
      </c>
      <c r="P16" s="6" t="n">
        <v>0.015</v>
      </c>
      <c r="Q16" s="6" t="n">
        <v>-0.123</v>
      </c>
    </row>
    <row r="17">
      <c r="A17" s="7" t="inlineStr">
        <is>
          <t>Basic Materials</t>
        </is>
      </c>
      <c r="B17" s="8" t="n">
        <v>2026</v>
      </c>
      <c r="C17" s="9" t="n"/>
      <c r="D17" s="9" t="n">
        <v>8.414999999999999</v>
      </c>
      <c r="E17" s="9" t="n">
        <v>1.582</v>
      </c>
      <c r="F17" s="9" t="n">
        <v>0.262</v>
      </c>
      <c r="G17" s="10" t="n">
        <v>-0.094</v>
      </c>
      <c r="H17" s="10" t="n">
        <v>0.05</v>
      </c>
      <c r="I17" s="10" t="n">
        <v>0.04</v>
      </c>
      <c r="J17" s="10" t="n">
        <v>-1.344</v>
      </c>
      <c r="K17" s="9" t="n">
        <v>1.555</v>
      </c>
      <c r="L17" s="10" t="n">
        <v>-0.048</v>
      </c>
      <c r="M17" s="9" t="n">
        <v>0.697</v>
      </c>
      <c r="N17" s="10" t="n">
        <v>-0.008</v>
      </c>
      <c r="O17" s="10" t="n">
        <v>0.05</v>
      </c>
      <c r="P17" s="10" t="n">
        <v>0.077</v>
      </c>
      <c r="Q17" s="10" t="n">
        <v>-1.257</v>
      </c>
    </row>
    <row r="18">
      <c r="A18" s="3" t="inlineStr">
        <is>
          <t>Communication Services</t>
        </is>
      </c>
      <c r="B18" s="4" t="n">
        <v>2011</v>
      </c>
      <c r="C18" s="5" t="n">
        <v>12.026</v>
      </c>
      <c r="D18" s="5" t="n">
        <v>7.169</v>
      </c>
      <c r="E18" s="5" t="n">
        <v>1.629</v>
      </c>
      <c r="F18" s="5" t="n">
        <v>2</v>
      </c>
      <c r="G18" s="6" t="n">
        <v>0.059</v>
      </c>
      <c r="H18" s="6" t="n">
        <v>0.03</v>
      </c>
      <c r="I18" s="6" t="n">
        <v>0.006</v>
      </c>
      <c r="J18" s="6" t="n">
        <v>0</v>
      </c>
      <c r="K18" s="5" t="n">
        <v>0.9340000000000001</v>
      </c>
      <c r="L18" s="6" t="n">
        <v>0.055</v>
      </c>
      <c r="M18" s="5" t="n">
        <v>0.287</v>
      </c>
      <c r="N18" s="6" t="n">
        <v>0.036</v>
      </c>
      <c r="O18" s="6" t="n">
        <v>0.604</v>
      </c>
      <c r="P18" s="6" t="n"/>
      <c r="Q18" s="6" t="n"/>
    </row>
    <row r="19">
      <c r="A19" s="7" t="inlineStr">
        <is>
          <t>Communication Services</t>
        </is>
      </c>
      <c r="B19" s="8" t="n">
        <v>2012</v>
      </c>
      <c r="C19" s="9" t="n">
        <v>13.462</v>
      </c>
      <c r="D19" s="9" t="n">
        <v>8.909000000000001</v>
      </c>
      <c r="E19" s="9" t="n">
        <v>1.825</v>
      </c>
      <c r="F19" s="9" t="n">
        <v>0.012</v>
      </c>
      <c r="G19" s="10" t="n">
        <v>0.08400000000000001</v>
      </c>
      <c r="H19" s="10" t="n">
        <v>0.045</v>
      </c>
      <c r="I19" s="10" t="n">
        <v>0.014</v>
      </c>
      <c r="J19" s="10" t="n">
        <v>0.277</v>
      </c>
      <c r="K19" s="9" t="n">
        <v>0.996</v>
      </c>
      <c r="L19" s="10" t="n">
        <v>0.09</v>
      </c>
      <c r="M19" s="9" t="n">
        <v>0.242</v>
      </c>
      <c r="N19" s="10" t="n">
        <v>0.066</v>
      </c>
      <c r="O19" s="10" t="n">
        <v>0.546</v>
      </c>
      <c r="P19" s="10" t="n">
        <v>0.031</v>
      </c>
      <c r="Q19" s="10" t="n">
        <v>0.184</v>
      </c>
    </row>
    <row r="20">
      <c r="A20" s="3" t="inlineStr">
        <is>
          <t>Communication Services</t>
        </is>
      </c>
      <c r="B20" s="4" t="n">
        <v>2013</v>
      </c>
      <c r="C20" s="5" t="n">
        <v>15.454</v>
      </c>
      <c r="D20" s="5" t="n">
        <v>10.988</v>
      </c>
      <c r="E20" s="5" t="n">
        <v>2.353</v>
      </c>
      <c r="F20" s="5" t="n">
        <v>0.037</v>
      </c>
      <c r="G20" s="6" t="n">
        <v>0.093</v>
      </c>
      <c r="H20" s="6" t="n">
        <v>0.044</v>
      </c>
      <c r="I20" s="6" t="n">
        <v>0.008</v>
      </c>
      <c r="J20" s="6" t="n">
        <v>0.235</v>
      </c>
      <c r="K20" s="5" t="n">
        <v>1.006</v>
      </c>
      <c r="L20" s="6" t="n">
        <v>0.094</v>
      </c>
      <c r="M20" s="5" t="n">
        <v>0.026</v>
      </c>
      <c r="N20" s="6" t="n">
        <v>0.08500000000000001</v>
      </c>
      <c r="O20" s="6" t="n">
        <v>0.48</v>
      </c>
      <c r="P20" s="6" t="n">
        <v>0.06900000000000001</v>
      </c>
      <c r="Q20" s="6" t="n">
        <v>0.133</v>
      </c>
    </row>
    <row r="21">
      <c r="A21" s="7" t="inlineStr">
        <is>
          <t>Communication Services</t>
        </is>
      </c>
      <c r="B21" s="8" t="n">
        <v>2014</v>
      </c>
      <c r="C21" s="9" t="n">
        <v>11.579</v>
      </c>
      <c r="D21" s="9" t="n">
        <v>10.11</v>
      </c>
      <c r="E21" s="9" t="n">
        <v>2.237</v>
      </c>
      <c r="F21" s="9" t="n">
        <v>0.135</v>
      </c>
      <c r="G21" s="10" t="n">
        <v>0.061</v>
      </c>
      <c r="H21" s="10" t="n">
        <v>0.032</v>
      </c>
      <c r="I21" s="10" t="n">
        <v>0.012</v>
      </c>
      <c r="J21" s="10" t="n">
        <v>0.173</v>
      </c>
      <c r="K21" s="9" t="n">
        <v>0.998</v>
      </c>
      <c r="L21" s="10" t="n">
        <v>0.079</v>
      </c>
      <c r="M21" s="9" t="n">
        <v>0.065</v>
      </c>
      <c r="N21" s="10" t="n">
        <v>0.064</v>
      </c>
      <c r="O21" s="10" t="n">
        <v>0.455</v>
      </c>
      <c r="P21" s="10" t="n">
        <v>0.036</v>
      </c>
      <c r="Q21" s="10" t="n">
        <v>0.011</v>
      </c>
    </row>
    <row r="22">
      <c r="A22" s="3" t="inlineStr">
        <is>
          <t>Communication Services</t>
        </is>
      </c>
      <c r="B22" s="4" t="n">
        <v>2015</v>
      </c>
      <c r="C22" s="5" t="n">
        <v>13.055</v>
      </c>
      <c r="D22" s="5" t="n">
        <v>10.134</v>
      </c>
      <c r="E22" s="5" t="n">
        <v>2.549</v>
      </c>
      <c r="F22" s="5" t="n">
        <v>0.033</v>
      </c>
      <c r="G22" s="6" t="n">
        <v>0.07000000000000001</v>
      </c>
      <c r="H22" s="6" t="n">
        <v>0.021</v>
      </c>
      <c r="I22" s="6" t="n">
        <v>0.008999999999999999</v>
      </c>
      <c r="J22" s="6" t="n">
        <v>0.298</v>
      </c>
      <c r="K22" s="5" t="n">
        <v>1.097</v>
      </c>
      <c r="L22" s="6" t="n">
        <v>0.08699999999999999</v>
      </c>
      <c r="M22" s="5" t="n">
        <v>0.222</v>
      </c>
      <c r="N22" s="6" t="n">
        <v>0.06</v>
      </c>
      <c r="O22" s="6" t="n">
        <v>0.423</v>
      </c>
      <c r="P22" s="6" t="n">
        <v>0.061</v>
      </c>
      <c r="Q22" s="6" t="n">
        <v>0.019</v>
      </c>
    </row>
    <row r="23">
      <c r="A23" s="7" t="inlineStr">
        <is>
          <t>Communication Services</t>
        </is>
      </c>
      <c r="B23" s="8" t="n">
        <v>2016</v>
      </c>
      <c r="C23" s="9" t="n">
        <v>16.823</v>
      </c>
      <c r="D23" s="9" t="n">
        <v>9.194000000000001</v>
      </c>
      <c r="E23" s="9" t="n">
        <v>1.862</v>
      </c>
      <c r="F23" s="9" t="n">
        <v>2.465</v>
      </c>
      <c r="G23" s="10" t="n">
        <v>0.057</v>
      </c>
      <c r="H23" s="10" t="n">
        <v>0.041</v>
      </c>
      <c r="I23" s="10" t="n">
        <v>0.015</v>
      </c>
      <c r="J23" s="10" t="n">
        <v>0.306</v>
      </c>
      <c r="K23" s="9" t="n">
        <v>1.114</v>
      </c>
      <c r="L23" s="10" t="n">
        <v>0.055</v>
      </c>
      <c r="M23" s="9" t="n">
        <v>0.165</v>
      </c>
      <c r="N23" s="10" t="n">
        <v>0.041</v>
      </c>
      <c r="O23" s="10" t="n">
        <v>0.432</v>
      </c>
      <c r="P23" s="10" t="n">
        <v>0.123</v>
      </c>
      <c r="Q23" s="10" t="n">
        <v>-0.162</v>
      </c>
    </row>
    <row r="24">
      <c r="A24" s="3" t="inlineStr">
        <is>
          <t>Communication Services</t>
        </is>
      </c>
      <c r="B24" s="4" t="n">
        <v>2017</v>
      </c>
      <c r="C24" s="5" t="n">
        <v>13.543</v>
      </c>
      <c r="D24" s="5" t="n">
        <v>9.731</v>
      </c>
      <c r="E24" s="5" t="n">
        <v>1.69</v>
      </c>
      <c r="F24" s="5" t="n">
        <v>0.01</v>
      </c>
      <c r="G24" s="6" t="n">
        <v>0.065</v>
      </c>
      <c r="H24" s="6" t="n">
        <v>0.036</v>
      </c>
      <c r="I24" s="6" t="n">
        <v>0.011</v>
      </c>
      <c r="J24" s="6" t="n">
        <v>0.237</v>
      </c>
      <c r="K24" s="5" t="n">
        <v>1.325</v>
      </c>
      <c r="L24" s="6" t="n">
        <v>0.082</v>
      </c>
      <c r="M24" s="5" t="n">
        <v>0.142</v>
      </c>
      <c r="N24" s="6" t="n">
        <v>0.045</v>
      </c>
      <c r="O24" s="6" t="n">
        <v>0.476</v>
      </c>
      <c r="P24" s="6" t="n">
        <v>0.124</v>
      </c>
      <c r="Q24" s="6" t="n">
        <v>0.221</v>
      </c>
    </row>
    <row r="25">
      <c r="A25" s="7" t="inlineStr">
        <is>
          <t>Communication Services</t>
        </is>
      </c>
      <c r="B25" s="8" t="n">
        <v>2018</v>
      </c>
      <c r="C25" s="9" t="n">
        <v>13.169</v>
      </c>
      <c r="D25" s="9" t="n">
        <v>10.19</v>
      </c>
      <c r="E25" s="9" t="n">
        <v>1.708</v>
      </c>
      <c r="F25" s="9" t="n">
        <v>0.061</v>
      </c>
      <c r="G25" s="10" t="n">
        <v>0.064</v>
      </c>
      <c r="H25" s="10" t="n">
        <v>0.047</v>
      </c>
      <c r="I25" s="10" t="n">
        <v>0.01</v>
      </c>
      <c r="J25" s="10" t="n">
        <v>0.043</v>
      </c>
      <c r="K25" s="9" t="n">
        <v>1.232</v>
      </c>
      <c r="L25" s="10" t="n">
        <v>0.065</v>
      </c>
      <c r="M25" s="9" t="n">
        <v>0.213</v>
      </c>
      <c r="N25" s="10" t="n">
        <v>0.045</v>
      </c>
      <c r="O25" s="10" t="n">
        <v>0.451</v>
      </c>
      <c r="P25" s="10" t="n">
        <v>0.094</v>
      </c>
      <c r="Q25" s="10" t="n">
        <v>0.036</v>
      </c>
    </row>
    <row r="26">
      <c r="A26" s="3" t="inlineStr">
        <is>
          <t>Communication Services</t>
        </is>
      </c>
      <c r="B26" s="4" t="n">
        <v>2019</v>
      </c>
      <c r="C26" s="5" t="n">
        <v>8.99</v>
      </c>
      <c r="D26" s="5" t="n">
        <v>9.499000000000001</v>
      </c>
      <c r="E26" s="5" t="n">
        <v>2.055</v>
      </c>
      <c r="F26" s="5" t="n">
        <v>0.05</v>
      </c>
      <c r="G26" s="6" t="n">
        <v>0.059</v>
      </c>
      <c r="H26" s="6" t="n">
        <v>0.031</v>
      </c>
      <c r="I26" s="6" t="n">
        <v>0.008</v>
      </c>
      <c r="J26" s="6" t="n">
        <v>0</v>
      </c>
      <c r="K26" s="5" t="n">
        <v>1.399</v>
      </c>
      <c r="L26" s="6" t="n">
        <v>0.043</v>
      </c>
      <c r="M26" s="5" t="n">
        <v>0.309</v>
      </c>
      <c r="N26" s="6" t="n">
        <v>0.033</v>
      </c>
      <c r="O26" s="6" t="n">
        <v>0.445</v>
      </c>
      <c r="P26" s="6" t="n">
        <v>0.06</v>
      </c>
      <c r="Q26" s="6" t="n">
        <v>0.062</v>
      </c>
    </row>
    <row r="27">
      <c r="A27" s="7" t="inlineStr">
        <is>
          <t>Communication Services</t>
        </is>
      </c>
      <c r="B27" s="8" t="n">
        <v>2020</v>
      </c>
      <c r="C27" s="9" t="n">
        <v>35.435</v>
      </c>
      <c r="D27" s="9" t="n">
        <v>8.912000000000001</v>
      </c>
      <c r="E27" s="9" t="n">
        <v>2.068</v>
      </c>
      <c r="F27" s="9" t="n">
        <v>0.122</v>
      </c>
      <c r="G27" s="10" t="n">
        <v>0.023</v>
      </c>
      <c r="H27" s="10" t="n">
        <v>0.032</v>
      </c>
      <c r="I27" s="10" t="n">
        <v>0</v>
      </c>
      <c r="J27" s="10" t="n">
        <v>0</v>
      </c>
      <c r="K27" s="9" t="n">
        <v>1.345</v>
      </c>
      <c r="L27" s="10" t="n">
        <v>-0.01</v>
      </c>
      <c r="M27" s="9" t="n">
        <v>0.399</v>
      </c>
      <c r="N27" s="10" t="n">
        <v>-0.006</v>
      </c>
      <c r="O27" s="10" t="n">
        <v>0.357</v>
      </c>
      <c r="P27" s="10" t="n">
        <v>-0.066</v>
      </c>
      <c r="Q27" s="10" t="n">
        <v>-0.479</v>
      </c>
    </row>
    <row r="28">
      <c r="A28" s="3" t="inlineStr">
        <is>
          <t>Communication Services</t>
        </is>
      </c>
      <c r="B28" s="4" t="n">
        <v>2021</v>
      </c>
      <c r="C28" s="5" t="n">
        <v>11.468</v>
      </c>
      <c r="D28" s="5" t="n">
        <v>9.266999999999999</v>
      </c>
      <c r="E28" s="5" t="n">
        <v>2.99</v>
      </c>
      <c r="F28" s="5" t="n">
        <v>1.197</v>
      </c>
      <c r="G28" s="6" t="n">
        <v>0.046</v>
      </c>
      <c r="H28" s="6" t="n">
        <v>0.03</v>
      </c>
      <c r="I28" s="6" t="n">
        <v>0</v>
      </c>
      <c r="J28" s="6" t="n">
        <v>0</v>
      </c>
      <c r="K28" s="5" t="n">
        <v>1.293</v>
      </c>
      <c r="L28" s="6" t="n">
        <v>0.037</v>
      </c>
      <c r="M28" s="5" t="n">
        <v>0.304</v>
      </c>
      <c r="N28" s="6" t="n">
        <v>0.035</v>
      </c>
      <c r="O28" s="6" t="n">
        <v>0.391</v>
      </c>
      <c r="P28" s="6" t="n">
        <v>0.128</v>
      </c>
      <c r="Q28" s="6" t="n">
        <v>-0.158</v>
      </c>
    </row>
    <row r="29">
      <c r="A29" s="7" t="inlineStr">
        <is>
          <t>Communication Services</t>
        </is>
      </c>
      <c r="B29" s="8" t="n">
        <v>2022</v>
      </c>
      <c r="C29" s="9" t="n">
        <v>12.731</v>
      </c>
      <c r="D29" s="9" t="n">
        <v>7.818</v>
      </c>
      <c r="E29" s="9" t="n">
        <v>1.786</v>
      </c>
      <c r="F29" s="9" t="n">
        <v>0.033</v>
      </c>
      <c r="G29" s="10" t="n">
        <v>0.05</v>
      </c>
      <c r="H29" s="10" t="n">
        <v>0.044</v>
      </c>
      <c r="I29" s="10" t="n">
        <v>0.004</v>
      </c>
      <c r="J29" s="10" t="n">
        <v>0.014</v>
      </c>
      <c r="K29" s="9" t="n">
        <v>1.322</v>
      </c>
      <c r="L29" s="10" t="n">
        <v>0.051</v>
      </c>
      <c r="M29" s="9" t="n">
        <v>0.276</v>
      </c>
      <c r="N29" s="10" t="n">
        <v>0.053</v>
      </c>
      <c r="O29" s="10" t="n">
        <v>0.41</v>
      </c>
      <c r="P29" s="10" t="n">
        <v>0.18</v>
      </c>
      <c r="Q29" s="10" t="n">
        <v>0.07000000000000001</v>
      </c>
    </row>
    <row r="30">
      <c r="A30" s="3" t="inlineStr">
        <is>
          <t>Communication Services</t>
        </is>
      </c>
      <c r="B30" s="4" t="n">
        <v>2023</v>
      </c>
      <c r="C30" s="5" t="n">
        <v>10.168</v>
      </c>
      <c r="D30" s="5" t="n">
        <v>7.079</v>
      </c>
      <c r="E30" s="5" t="n">
        <v>1.597</v>
      </c>
      <c r="F30" s="5" t="n">
        <v>0.013</v>
      </c>
      <c r="G30" s="6" t="n">
        <v>0.053</v>
      </c>
      <c r="H30" s="6" t="n">
        <v>0.047</v>
      </c>
      <c r="I30" s="6" t="n">
        <v>0.007</v>
      </c>
      <c r="J30" s="6" t="n">
        <v>0.036</v>
      </c>
      <c r="K30" s="5" t="n">
        <v>1.322</v>
      </c>
      <c r="L30" s="6" t="n">
        <v>0.062</v>
      </c>
      <c r="M30" s="5" t="n">
        <v>0.13</v>
      </c>
      <c r="N30" s="6" t="n">
        <v>0.029</v>
      </c>
      <c r="O30" s="6" t="n">
        <v>0.394</v>
      </c>
      <c r="P30" s="6" t="n">
        <v>0.075</v>
      </c>
      <c r="Q30" s="6" t="n">
        <v>-0.373</v>
      </c>
    </row>
    <row r="31">
      <c r="A31" s="7" t="inlineStr">
        <is>
          <t>Communication Services</t>
        </is>
      </c>
      <c r="B31" s="8" t="n">
        <v>2024</v>
      </c>
      <c r="C31" s="9" t="n">
        <v>12.568</v>
      </c>
      <c r="D31" s="9" t="n">
        <v>6.707</v>
      </c>
      <c r="E31" s="9" t="n">
        <v>1.892</v>
      </c>
      <c r="F31" s="9" t="n">
        <v>0.52</v>
      </c>
      <c r="G31" s="10" t="n">
        <v>0.07000000000000001</v>
      </c>
      <c r="H31" s="10" t="n">
        <v>0.07099999999999999</v>
      </c>
      <c r="I31" s="10" t="n">
        <v>0.008</v>
      </c>
      <c r="J31" s="10" t="n">
        <v>0.015</v>
      </c>
      <c r="K31" s="9" t="n">
        <v>1.31</v>
      </c>
      <c r="L31" s="10" t="n">
        <v>0.06900000000000001</v>
      </c>
      <c r="M31" s="9" t="n">
        <v>0.315</v>
      </c>
      <c r="N31" s="10" t="n">
        <v>0.037</v>
      </c>
      <c r="O31" s="10" t="n">
        <v>0.467</v>
      </c>
      <c r="P31" s="10" t="n">
        <v>0.011</v>
      </c>
      <c r="Q31" s="10" t="n">
        <v>-0.123</v>
      </c>
    </row>
    <row r="32">
      <c r="A32" s="3" t="inlineStr">
        <is>
          <t>Communication Services</t>
        </is>
      </c>
      <c r="B32" s="4" t="n">
        <v>2025</v>
      </c>
      <c r="C32" s="5" t="n">
        <v>8.315</v>
      </c>
      <c r="D32" s="5" t="n">
        <v>6.663</v>
      </c>
      <c r="E32" s="5" t="n">
        <v>1.711</v>
      </c>
      <c r="F32" s="5" t="n">
        <v>0.035</v>
      </c>
      <c r="G32" s="6" t="n">
        <v>0.077</v>
      </c>
      <c r="H32" s="6" t="n">
        <v>0.096</v>
      </c>
      <c r="I32" s="6" t="n">
        <v>0.02</v>
      </c>
      <c r="J32" s="6" t="n">
        <v>0.015</v>
      </c>
      <c r="K32" s="5" t="n">
        <v>1.258</v>
      </c>
      <c r="L32" s="6" t="n">
        <v>0.082</v>
      </c>
      <c r="M32" s="5" t="n">
        <v>0.325</v>
      </c>
      <c r="N32" s="6" t="n">
        <v>0.044</v>
      </c>
      <c r="O32" s="6" t="n">
        <v>0.391</v>
      </c>
      <c r="P32" s="6" t="n">
        <v>0.007</v>
      </c>
      <c r="Q32" s="6" t="n">
        <v>-0.254</v>
      </c>
    </row>
    <row r="33">
      <c r="A33" s="7" t="inlineStr">
        <is>
          <t>Communication Services</t>
        </is>
      </c>
      <c r="B33" s="8" t="n">
        <v>2026</v>
      </c>
      <c r="C33" s="9" t="n">
        <v>19.313</v>
      </c>
      <c r="D33" s="9" t="n">
        <v>5.375</v>
      </c>
      <c r="E33" s="9" t="n">
        <v>2.682</v>
      </c>
      <c r="F33" s="9" t="n">
        <v>0.122</v>
      </c>
      <c r="G33" s="10" t="n">
        <v>0.116</v>
      </c>
      <c r="H33" s="10" t="n">
        <v>0.127</v>
      </c>
      <c r="I33" s="10" t="n">
        <v>0.035</v>
      </c>
      <c r="J33" s="10" t="n">
        <v>-0.512</v>
      </c>
      <c r="K33" s="9" t="n">
        <v>1.13</v>
      </c>
      <c r="L33" s="10" t="n">
        <v>-0.008</v>
      </c>
      <c r="M33" s="9" t="n">
        <v>1.04</v>
      </c>
      <c r="N33" s="10" t="n">
        <v>-0.01</v>
      </c>
      <c r="O33" s="10" t="n">
        <v>0.315</v>
      </c>
      <c r="P33" s="10" t="n">
        <v>0.07000000000000001</v>
      </c>
      <c r="Q33" s="10" t="n">
        <v>-0.904</v>
      </c>
    </row>
    <row r="34">
      <c r="A34" s="3" t="inlineStr">
        <is>
          <t>Consumer Cyclical</t>
        </is>
      </c>
      <c r="B34" s="4" t="n">
        <v>2011</v>
      </c>
      <c r="C34" s="5" t="n">
        <v>10.191</v>
      </c>
      <c r="D34" s="5" t="n">
        <v>5.902</v>
      </c>
      <c r="E34" s="5" t="n">
        <v>1.27</v>
      </c>
      <c r="F34" s="5" t="n">
        <v>0.177</v>
      </c>
      <c r="G34" s="6" t="n">
        <v>0.065</v>
      </c>
      <c r="H34" s="6" t="n">
        <v>0.032</v>
      </c>
      <c r="I34" s="6" t="n">
        <v>0.016</v>
      </c>
      <c r="J34" s="6" t="n">
        <v>0.175</v>
      </c>
      <c r="K34" s="5" t="n">
        <v>1.293</v>
      </c>
      <c r="L34" s="6" t="n">
        <v>0.102</v>
      </c>
      <c r="M34" s="5" t="n">
        <v>0.144</v>
      </c>
      <c r="N34" s="6" t="n">
        <v>0.056</v>
      </c>
      <c r="O34" s="6" t="n">
        <v>0.485</v>
      </c>
      <c r="P34" s="6" t="n"/>
      <c r="Q34" s="6" t="n"/>
    </row>
    <row r="35">
      <c r="A35" s="7" t="inlineStr">
        <is>
          <t>Consumer Cyclical</t>
        </is>
      </c>
      <c r="B35" s="8" t="n">
        <v>2012</v>
      </c>
      <c r="C35" s="9" t="n">
        <v>11.305</v>
      </c>
      <c r="D35" s="9" t="n">
        <v>7.049</v>
      </c>
      <c r="E35" s="9" t="n">
        <v>1.578</v>
      </c>
      <c r="F35" s="9" t="n">
        <v>0.008999999999999999</v>
      </c>
      <c r="G35" s="10" t="n">
        <v>0.08599999999999999</v>
      </c>
      <c r="H35" s="10" t="n">
        <v>0.039</v>
      </c>
      <c r="I35" s="10" t="n">
        <v>0.019</v>
      </c>
      <c r="J35" s="10" t="n">
        <v>0.213</v>
      </c>
      <c r="K35" s="9" t="n">
        <v>1.364</v>
      </c>
      <c r="L35" s="10" t="n">
        <v>0.119</v>
      </c>
      <c r="M35" s="9" t="n">
        <v>0.14</v>
      </c>
      <c r="N35" s="10" t="n">
        <v>0.051</v>
      </c>
      <c r="O35" s="10" t="n">
        <v>0.431</v>
      </c>
      <c r="P35" s="10" t="n">
        <v>0.066</v>
      </c>
      <c r="Q35" s="10" t="n">
        <v>0.106</v>
      </c>
    </row>
    <row r="36">
      <c r="A36" s="3" t="inlineStr">
        <is>
          <t>Consumer Cyclical</t>
        </is>
      </c>
      <c r="B36" s="4" t="n">
        <v>2013</v>
      </c>
      <c r="C36" s="5" t="n">
        <v>13.983</v>
      </c>
      <c r="D36" s="5" t="n">
        <v>8.855</v>
      </c>
      <c r="E36" s="5" t="n">
        <v>1.905</v>
      </c>
      <c r="F36" s="5" t="n">
        <v>0.018</v>
      </c>
      <c r="G36" s="6" t="n">
        <v>0.079</v>
      </c>
      <c r="H36" s="6" t="n">
        <v>0.034</v>
      </c>
      <c r="I36" s="6" t="n">
        <v>0.014</v>
      </c>
      <c r="J36" s="6" t="n">
        <v>0.223</v>
      </c>
      <c r="K36" s="5" t="n">
        <v>1.28</v>
      </c>
      <c r="L36" s="6" t="n">
        <v>0.105</v>
      </c>
      <c r="M36" s="5" t="n">
        <v>0.168</v>
      </c>
      <c r="N36" s="6" t="n">
        <v>0.051</v>
      </c>
      <c r="O36" s="6" t="n">
        <v>0.379</v>
      </c>
      <c r="P36" s="6" t="n">
        <v>0.08799999999999999</v>
      </c>
      <c r="Q36" s="6" t="n">
        <v>0.036</v>
      </c>
    </row>
    <row r="37">
      <c r="A37" s="7" t="inlineStr">
        <is>
          <t>Consumer Cyclical</t>
        </is>
      </c>
      <c r="B37" s="8" t="n">
        <v>2014</v>
      </c>
      <c r="C37" s="9" t="n">
        <v>14.543</v>
      </c>
      <c r="D37" s="9" t="n">
        <v>9.007</v>
      </c>
      <c r="E37" s="9" t="n">
        <v>2.412</v>
      </c>
      <c r="F37" s="9" t="n">
        <v>0.155</v>
      </c>
      <c r="G37" s="10" t="n">
        <v>0.08500000000000001</v>
      </c>
      <c r="H37" s="10" t="n">
        <v>0.046</v>
      </c>
      <c r="I37" s="10" t="n">
        <v>0.016</v>
      </c>
      <c r="J37" s="10" t="n">
        <v>0.235</v>
      </c>
      <c r="K37" s="9" t="n">
        <v>1.241</v>
      </c>
      <c r="L37" s="10" t="n">
        <v>0.132</v>
      </c>
      <c r="M37" s="9" t="n">
        <v>0.314</v>
      </c>
      <c r="N37" s="10" t="n">
        <v>0.047</v>
      </c>
      <c r="O37" s="10" t="n">
        <v>0.379</v>
      </c>
      <c r="P37" s="10" t="n">
        <v>0.099</v>
      </c>
      <c r="Q37" s="10" t="n">
        <v>0.154</v>
      </c>
    </row>
    <row r="38">
      <c r="A38" s="3" t="inlineStr">
        <is>
          <t>Consumer Cyclical</t>
        </is>
      </c>
      <c r="B38" s="4" t="n">
        <v>2015</v>
      </c>
      <c r="C38" s="5" t="n">
        <v>13.549</v>
      </c>
      <c r="D38" s="5" t="n">
        <v>9.164</v>
      </c>
      <c r="E38" s="5" t="n">
        <v>2.575</v>
      </c>
      <c r="F38" s="5" t="n">
        <v>0.092</v>
      </c>
      <c r="G38" s="6" t="n">
        <v>0.102</v>
      </c>
      <c r="H38" s="6" t="n">
        <v>0.034</v>
      </c>
      <c r="I38" s="6" t="n">
        <v>0.015</v>
      </c>
      <c r="J38" s="6" t="n">
        <v>0.263</v>
      </c>
      <c r="K38" s="5" t="n">
        <v>1.3</v>
      </c>
      <c r="L38" s="6" t="n">
        <v>0.144</v>
      </c>
      <c r="M38" s="5" t="n">
        <v>0.301</v>
      </c>
      <c r="N38" s="6" t="n">
        <v>0.049</v>
      </c>
      <c r="O38" s="6" t="n">
        <v>0.372</v>
      </c>
      <c r="P38" s="6" t="n">
        <v>0.08799999999999999</v>
      </c>
      <c r="Q38" s="6" t="n">
        <v>0.142</v>
      </c>
    </row>
    <row r="39">
      <c r="A39" s="7" t="inlineStr">
        <is>
          <t>Consumer Cyclical</t>
        </is>
      </c>
      <c r="B39" s="8" t="n">
        <v>2016</v>
      </c>
      <c r="C39" s="9" t="n">
        <v>15.271</v>
      </c>
      <c r="D39" s="9" t="n">
        <v>8.981</v>
      </c>
      <c r="E39" s="9" t="n">
        <v>2.482</v>
      </c>
      <c r="F39" s="9" t="n">
        <v>0.151</v>
      </c>
      <c r="G39" s="10" t="n">
        <v>0.093</v>
      </c>
      <c r="H39" s="10" t="n">
        <v>0.037</v>
      </c>
      <c r="I39" s="10" t="n">
        <v>0.02</v>
      </c>
      <c r="J39" s="10" t="n">
        <v>0.297</v>
      </c>
      <c r="K39" s="9" t="n">
        <v>1.309</v>
      </c>
      <c r="L39" s="10" t="n">
        <v>0.152</v>
      </c>
      <c r="M39" s="9" t="n">
        <v>0.287</v>
      </c>
      <c r="N39" s="10" t="n">
        <v>0.051</v>
      </c>
      <c r="O39" s="10" t="n">
        <v>0.386</v>
      </c>
      <c r="P39" s="10" t="n">
        <v>0.108</v>
      </c>
      <c r="Q39" s="10" t="n">
        <v>0.058</v>
      </c>
    </row>
    <row r="40">
      <c r="A40" s="3" t="inlineStr">
        <is>
          <t>Consumer Cyclical</t>
        </is>
      </c>
      <c r="B40" s="4" t="n">
        <v>2017</v>
      </c>
      <c r="C40" s="5" t="n">
        <v>14.763</v>
      </c>
      <c r="D40" s="5" t="n">
        <v>9.853</v>
      </c>
      <c r="E40" s="5" t="n">
        <v>2.367</v>
      </c>
      <c r="F40" s="5" t="n">
        <v>0.08799999999999999</v>
      </c>
      <c r="G40" s="6" t="n">
        <v>0.093</v>
      </c>
      <c r="H40" s="6" t="n">
        <v>0.036</v>
      </c>
      <c r="I40" s="6" t="n">
        <v>0.019</v>
      </c>
      <c r="J40" s="6" t="n">
        <v>0.301</v>
      </c>
      <c r="K40" s="5" t="n">
        <v>1.309</v>
      </c>
      <c r="L40" s="6" t="n">
        <v>0.14</v>
      </c>
      <c r="M40" s="5" t="n">
        <v>0.269</v>
      </c>
      <c r="N40" s="6" t="n">
        <v>0.052</v>
      </c>
      <c r="O40" s="6" t="n">
        <v>0.399</v>
      </c>
      <c r="P40" s="6" t="n">
        <v>0.111</v>
      </c>
      <c r="Q40" s="6" t="n">
        <v>0.075</v>
      </c>
    </row>
    <row r="41">
      <c r="A41" s="7" t="inlineStr">
        <is>
          <t>Consumer Cyclical</t>
        </is>
      </c>
      <c r="B41" s="8" t="n">
        <v>2018</v>
      </c>
      <c r="C41" s="9" t="n">
        <v>13.267</v>
      </c>
      <c r="D41" s="9" t="n">
        <v>9.353</v>
      </c>
      <c r="E41" s="9" t="n">
        <v>2.127</v>
      </c>
      <c r="F41" s="9" t="n">
        <v>0.007</v>
      </c>
      <c r="G41" s="10" t="n">
        <v>0.08599999999999999</v>
      </c>
      <c r="H41" s="10" t="n">
        <v>0.044</v>
      </c>
      <c r="I41" s="10" t="n">
        <v>0.024</v>
      </c>
      <c r="J41" s="10" t="n">
        <v>0.308</v>
      </c>
      <c r="K41" s="9" t="n">
        <v>1.254</v>
      </c>
      <c r="L41" s="10" t="n">
        <v>0.131</v>
      </c>
      <c r="M41" s="9" t="n">
        <v>0.315</v>
      </c>
      <c r="N41" s="10" t="n">
        <v>0.048</v>
      </c>
      <c r="O41" s="10" t="n">
        <v>0.378</v>
      </c>
      <c r="P41" s="10" t="n">
        <v>0.078</v>
      </c>
      <c r="Q41" s="10" t="n">
        <v>-0.001</v>
      </c>
    </row>
    <row r="42">
      <c r="A42" s="3" t="inlineStr">
        <is>
          <t>Consumer Cyclical</t>
        </is>
      </c>
      <c r="B42" s="4" t="n">
        <v>2019</v>
      </c>
      <c r="C42" s="5" t="n">
        <v>12.387</v>
      </c>
      <c r="D42" s="5" t="n">
        <v>9.178000000000001</v>
      </c>
      <c r="E42" s="5" t="n">
        <v>1.924</v>
      </c>
      <c r="F42" s="5" t="n">
        <v>1.142</v>
      </c>
      <c r="G42" s="6" t="n">
        <v>0.078</v>
      </c>
      <c r="H42" s="6" t="n">
        <v>0.048</v>
      </c>
      <c r="I42" s="6" t="n">
        <v>0.02</v>
      </c>
      <c r="J42" s="6" t="n">
        <v>0.293</v>
      </c>
      <c r="K42" s="5" t="n">
        <v>1.279</v>
      </c>
      <c r="L42" s="6" t="n">
        <v>0.073</v>
      </c>
      <c r="M42" s="5" t="n">
        <v>0.448</v>
      </c>
      <c r="N42" s="6" t="n">
        <v>0.037</v>
      </c>
      <c r="O42" s="6" t="n">
        <v>0.374</v>
      </c>
      <c r="P42" s="6" t="n">
        <v>0.048</v>
      </c>
      <c r="Q42" s="6" t="n">
        <v>-0.118</v>
      </c>
    </row>
    <row r="43">
      <c r="A43" s="7" t="inlineStr">
        <is>
          <t>Consumer Cyclical</t>
        </is>
      </c>
      <c r="B43" s="8" t="n">
        <v>2020</v>
      </c>
      <c r="C43" s="9" t="n">
        <v>11.888</v>
      </c>
      <c r="D43" s="9" t="n">
        <v>9.798</v>
      </c>
      <c r="E43" s="9" t="n">
        <v>1.757</v>
      </c>
      <c r="F43" s="9" t="n">
        <v>0.525</v>
      </c>
      <c r="G43" s="10" t="n">
        <v>0.034</v>
      </c>
      <c r="H43" s="10" t="n">
        <v>0.06</v>
      </c>
      <c r="I43" s="10" t="n">
        <v>0.002</v>
      </c>
      <c r="J43" s="10" t="n">
        <v>0</v>
      </c>
      <c r="K43" s="9" t="n">
        <v>1.265</v>
      </c>
      <c r="L43" s="10" t="n">
        <v>0.027</v>
      </c>
      <c r="M43" s="9" t="n">
        <v>0.67</v>
      </c>
      <c r="N43" s="10" t="n">
        <v>0.016</v>
      </c>
      <c r="O43" s="10" t="n">
        <v>0.328</v>
      </c>
      <c r="P43" s="10" t="n">
        <v>-0.031</v>
      </c>
      <c r="Q43" s="10" t="n">
        <v>-0.35</v>
      </c>
    </row>
    <row r="44">
      <c r="A44" s="3" t="inlineStr">
        <is>
          <t>Consumer Cyclical</t>
        </is>
      </c>
      <c r="B44" s="4" t="n">
        <v>2021</v>
      </c>
      <c r="C44" s="5" t="n">
        <v>12.045</v>
      </c>
      <c r="D44" s="5" t="n">
        <v>10.094</v>
      </c>
      <c r="E44" s="5" t="n">
        <v>2.261</v>
      </c>
      <c r="F44" s="5" t="n">
        <v>0.051</v>
      </c>
      <c r="G44" s="6" t="n">
        <v>0.058</v>
      </c>
      <c r="H44" s="6" t="n">
        <v>0.047</v>
      </c>
      <c r="I44" s="6" t="n">
        <v>0</v>
      </c>
      <c r="J44" s="6" t="n">
        <v>0</v>
      </c>
      <c r="K44" s="5" t="n">
        <v>1.42</v>
      </c>
      <c r="L44" s="6" t="n">
        <v>0.073</v>
      </c>
      <c r="M44" s="5" t="n">
        <v>0.594</v>
      </c>
      <c r="N44" s="6" t="n">
        <v>0.04</v>
      </c>
      <c r="O44" s="6" t="n">
        <v>0.325</v>
      </c>
      <c r="P44" s="6" t="n">
        <v>0.152</v>
      </c>
      <c r="Q44" s="6" t="n">
        <v>-0.24</v>
      </c>
    </row>
    <row r="45">
      <c r="A45" s="7" t="inlineStr">
        <is>
          <t>Consumer Cyclical</t>
        </is>
      </c>
      <c r="B45" s="8" t="n">
        <v>2022</v>
      </c>
      <c r="C45" s="9" t="n">
        <v>9.742000000000001</v>
      </c>
      <c r="D45" s="9" t="n">
        <v>6.66</v>
      </c>
      <c r="E45" s="9" t="n">
        <v>1.551</v>
      </c>
      <c r="F45" s="9" t="n">
        <v>0.032</v>
      </c>
      <c r="G45" s="10" t="n">
        <v>0.068</v>
      </c>
      <c r="H45" s="10" t="n">
        <v>0.06</v>
      </c>
      <c r="I45" s="10" t="n">
        <v>0.008999999999999999</v>
      </c>
      <c r="J45" s="10" t="n">
        <v>0.096</v>
      </c>
      <c r="K45" s="9" t="n">
        <v>1.374</v>
      </c>
      <c r="L45" s="10" t="n">
        <v>0.094</v>
      </c>
      <c r="M45" s="9" t="n">
        <v>0.752</v>
      </c>
      <c r="N45" s="10" t="n">
        <v>0.046</v>
      </c>
      <c r="O45" s="10" t="n">
        <v>0.358</v>
      </c>
      <c r="P45" s="10" t="n">
        <v>0.177</v>
      </c>
      <c r="Q45" s="10" t="n">
        <v>0.053</v>
      </c>
    </row>
    <row r="46">
      <c r="A46" s="3" t="inlineStr">
        <is>
          <t>Consumer Cyclical</t>
        </is>
      </c>
      <c r="B46" s="4" t="n">
        <v>2023</v>
      </c>
      <c r="C46" s="5" t="n">
        <v>11.292</v>
      </c>
      <c r="D46" s="5" t="n">
        <v>7.557</v>
      </c>
      <c r="E46" s="5" t="n">
        <v>1.566</v>
      </c>
      <c r="F46" s="5" t="n">
        <v>0.012</v>
      </c>
      <c r="G46" s="6" t="n">
        <v>0.051</v>
      </c>
      <c r="H46" s="6" t="n">
        <v>0.067</v>
      </c>
      <c r="I46" s="6" t="n">
        <v>0.019</v>
      </c>
      <c r="J46" s="6" t="n">
        <v>0.147</v>
      </c>
      <c r="K46" s="5" t="n">
        <v>1.284</v>
      </c>
      <c r="L46" s="6" t="n">
        <v>0.068</v>
      </c>
      <c r="M46" s="5" t="n">
        <v>0.698</v>
      </c>
      <c r="N46" s="6" t="n">
        <v>0.029</v>
      </c>
      <c r="O46" s="6" t="n">
        <v>0.381</v>
      </c>
      <c r="P46" s="6" t="n">
        <v>0.066</v>
      </c>
      <c r="Q46" s="6" t="n">
        <v>-0.285</v>
      </c>
    </row>
    <row r="47">
      <c r="A47" s="7" t="inlineStr">
        <is>
          <t>Consumer Cyclical</t>
        </is>
      </c>
      <c r="B47" s="8" t="n">
        <v>2024</v>
      </c>
      <c r="C47" s="9" t="n">
        <v>11.912</v>
      </c>
      <c r="D47" s="9" t="n">
        <v>6.923</v>
      </c>
      <c r="E47" s="9" t="n">
        <v>1.267</v>
      </c>
      <c r="F47" s="9" t="n">
        <v>0.672</v>
      </c>
      <c r="G47" s="10" t="n">
        <v>0.051</v>
      </c>
      <c r="H47" s="10" t="n">
        <v>0.08400000000000001</v>
      </c>
      <c r="I47" s="10" t="n">
        <v>0.017</v>
      </c>
      <c r="J47" s="10" t="n">
        <v>0.074</v>
      </c>
      <c r="K47" s="9" t="n">
        <v>1.155</v>
      </c>
      <c r="L47" s="10" t="n">
        <v>0.073</v>
      </c>
      <c r="M47" s="9" t="n">
        <v>0.55</v>
      </c>
      <c r="N47" s="10" t="n">
        <v>0.024</v>
      </c>
      <c r="O47" s="10" t="n">
        <v>0.395</v>
      </c>
      <c r="P47" s="10" t="n">
        <v>0.036</v>
      </c>
      <c r="Q47" s="10" t="n">
        <v>-0.121</v>
      </c>
    </row>
    <row r="48">
      <c r="A48" s="3" t="inlineStr">
        <is>
          <t>Consumer Cyclical</t>
        </is>
      </c>
      <c r="B48" s="4" t="n">
        <v>2025</v>
      </c>
      <c r="C48" s="5" t="n">
        <v>11.521</v>
      </c>
      <c r="D48" s="5" t="n">
        <v>6.578</v>
      </c>
      <c r="E48" s="5" t="n">
        <v>1.221</v>
      </c>
      <c r="F48" s="5" t="n">
        <v>0.03</v>
      </c>
      <c r="G48" s="6" t="n">
        <v>0.058</v>
      </c>
      <c r="H48" s="6" t="n">
        <v>0.106</v>
      </c>
      <c r="I48" s="6" t="n">
        <v>0.021</v>
      </c>
      <c r="J48" s="6" t="n">
        <v>0.157</v>
      </c>
      <c r="K48" s="5" t="n">
        <v>1.147</v>
      </c>
      <c r="L48" s="6" t="n">
        <v>0.068</v>
      </c>
      <c r="M48" s="5" t="n">
        <v>0.6</v>
      </c>
      <c r="N48" s="6" t="n">
        <v>0.033</v>
      </c>
      <c r="O48" s="6" t="n">
        <v>0.333</v>
      </c>
      <c r="P48" s="6" t="n">
        <v>0.024</v>
      </c>
      <c r="Q48" s="6" t="n">
        <v>-0.09</v>
      </c>
    </row>
    <row r="49">
      <c r="A49" s="7" t="inlineStr">
        <is>
          <t>Consumer Cyclical</t>
        </is>
      </c>
      <c r="B49" s="8" t="n">
        <v>2026</v>
      </c>
      <c r="C49" s="9" t="n">
        <v>18.16</v>
      </c>
      <c r="D49" s="9" t="n">
        <v>6.051</v>
      </c>
      <c r="E49" s="9" t="n">
        <v>1.171</v>
      </c>
      <c r="F49" s="9" t="n">
        <v>0.443</v>
      </c>
      <c r="G49" s="10" t="n">
        <v>0.048</v>
      </c>
      <c r="H49" s="10" t="n">
        <v>0.179</v>
      </c>
      <c r="I49" s="10" t="n">
        <v>0.033</v>
      </c>
      <c r="J49" s="10" t="n">
        <v>0.473</v>
      </c>
      <c r="K49" s="9" t="n">
        <v>1.362</v>
      </c>
      <c r="L49" s="10" t="n">
        <v>0.065</v>
      </c>
      <c r="M49" s="9" t="n">
        <v>0.866</v>
      </c>
      <c r="N49" s="10" t="n">
        <v>0.026</v>
      </c>
      <c r="O49" s="10" t="n">
        <v>0.45</v>
      </c>
      <c r="P49" s="10" t="n">
        <v>0.014</v>
      </c>
      <c r="Q49" s="10" t="n">
        <v>-0.142</v>
      </c>
    </row>
    <row r="50">
      <c r="A50" s="3" t="inlineStr">
        <is>
          <t>Consumer Defensive</t>
        </is>
      </c>
      <c r="B50" s="4" t="n">
        <v>2011</v>
      </c>
      <c r="C50" s="5" t="n">
        <v>14.088</v>
      </c>
      <c r="D50" s="5" t="n">
        <v>9.417</v>
      </c>
      <c r="E50" s="5" t="n">
        <v>3.281</v>
      </c>
      <c r="F50" s="5" t="n">
        <v>0.323</v>
      </c>
      <c r="G50" s="6" t="n">
        <v>0.113</v>
      </c>
      <c r="H50" s="6" t="n">
        <v>0.033</v>
      </c>
      <c r="I50" s="6" t="n">
        <v>0.024</v>
      </c>
      <c r="J50" s="6" t="n">
        <v>0.351</v>
      </c>
      <c r="K50" s="5" t="n">
        <v>1.35</v>
      </c>
      <c r="L50" s="6" t="n">
        <v>0.219</v>
      </c>
      <c r="M50" s="5" t="n">
        <v>0.439</v>
      </c>
      <c r="N50" s="6" t="n">
        <v>0.08599999999999999</v>
      </c>
      <c r="O50" s="6" t="n">
        <v>0.387</v>
      </c>
      <c r="P50" s="6" t="n"/>
      <c r="Q50" s="6" t="n"/>
    </row>
    <row r="51">
      <c r="A51" s="7" t="inlineStr">
        <is>
          <t>Consumer Defensive</t>
        </is>
      </c>
      <c r="B51" s="8" t="n">
        <v>2012</v>
      </c>
      <c r="C51" s="9" t="n">
        <v>15.99</v>
      </c>
      <c r="D51" s="9" t="n">
        <v>9.1</v>
      </c>
      <c r="E51" s="9" t="n">
        <v>2.504</v>
      </c>
      <c r="F51" s="9" t="n">
        <v>0.014</v>
      </c>
      <c r="G51" s="10" t="n">
        <v>0.108</v>
      </c>
      <c r="H51" s="10" t="n">
        <v>0.037</v>
      </c>
      <c r="I51" s="10" t="n">
        <v>0.026</v>
      </c>
      <c r="J51" s="10" t="n">
        <v>0.376</v>
      </c>
      <c r="K51" s="9" t="n">
        <v>1.197</v>
      </c>
      <c r="L51" s="10" t="n">
        <v>0.155</v>
      </c>
      <c r="M51" s="9" t="n">
        <v>0.458</v>
      </c>
      <c r="N51" s="10" t="n">
        <v>0.057</v>
      </c>
      <c r="O51" s="10" t="n">
        <v>0.326</v>
      </c>
      <c r="P51" s="10" t="n">
        <v>0.051</v>
      </c>
      <c r="Q51" s="10" t="n">
        <v>0.022</v>
      </c>
    </row>
    <row r="52">
      <c r="A52" s="3" t="inlineStr">
        <is>
          <t>Consumer Defensive</t>
        </is>
      </c>
      <c r="B52" s="4" t="n">
        <v>2013</v>
      </c>
      <c r="C52" s="5" t="n">
        <v>17.691</v>
      </c>
      <c r="D52" s="5" t="n">
        <v>12.519</v>
      </c>
      <c r="E52" s="5" t="n">
        <v>3.706</v>
      </c>
      <c r="F52" s="5" t="n">
        <v>0.097</v>
      </c>
      <c r="G52" s="6" t="n">
        <v>0.105</v>
      </c>
      <c r="H52" s="6" t="n">
        <v>0.032</v>
      </c>
      <c r="I52" s="6" t="n">
        <v>0.022</v>
      </c>
      <c r="J52" s="6" t="n">
        <v>0.413</v>
      </c>
      <c r="K52" s="5" t="n">
        <v>1.315</v>
      </c>
      <c r="L52" s="6" t="n">
        <v>0.196</v>
      </c>
      <c r="M52" s="5" t="n">
        <v>0.461</v>
      </c>
      <c r="N52" s="6" t="n">
        <v>0.054</v>
      </c>
      <c r="O52" s="6" t="n">
        <v>0.344</v>
      </c>
      <c r="P52" s="6" t="n">
        <v>0.024</v>
      </c>
      <c r="Q52" s="6" t="n">
        <v>0.02</v>
      </c>
    </row>
    <row r="53">
      <c r="A53" s="7" t="inlineStr">
        <is>
          <t>Consumer Defensive</t>
        </is>
      </c>
      <c r="B53" s="8" t="n">
        <v>2014</v>
      </c>
      <c r="C53" s="9" t="n">
        <v>18.455</v>
      </c>
      <c r="D53" s="9" t="n">
        <v>10.147</v>
      </c>
      <c r="E53" s="9" t="n">
        <v>3.398</v>
      </c>
      <c r="F53" s="9" t="n">
        <v>0.194</v>
      </c>
      <c r="G53" s="10" t="n">
        <v>0.112</v>
      </c>
      <c r="H53" s="10" t="n">
        <v>0.034</v>
      </c>
      <c r="I53" s="10" t="n">
        <v>0.021</v>
      </c>
      <c r="J53" s="10" t="n">
        <v>0.415</v>
      </c>
      <c r="K53" s="9" t="n">
        <v>1.323</v>
      </c>
      <c r="L53" s="10" t="n">
        <v>0.167</v>
      </c>
      <c r="M53" s="9" t="n">
        <v>0.42</v>
      </c>
      <c r="N53" s="10" t="n">
        <v>0.056</v>
      </c>
      <c r="O53" s="10" t="n">
        <v>0.346</v>
      </c>
      <c r="P53" s="10" t="n">
        <v>-0.021</v>
      </c>
      <c r="Q53" s="10" t="n">
        <v>0.003</v>
      </c>
    </row>
    <row r="54">
      <c r="A54" s="3" t="inlineStr">
        <is>
          <t>Consumer Defensive</t>
        </is>
      </c>
      <c r="B54" s="4" t="n">
        <v>2015</v>
      </c>
      <c r="C54" s="5" t="n">
        <v>19.81</v>
      </c>
      <c r="D54" s="5" t="n">
        <v>13.6</v>
      </c>
      <c r="E54" s="5" t="n">
        <v>4.655</v>
      </c>
      <c r="F54" s="5" t="n">
        <v>0.076</v>
      </c>
      <c r="G54" s="6" t="n">
        <v>0.105</v>
      </c>
      <c r="H54" s="6" t="n">
        <v>0.036</v>
      </c>
      <c r="I54" s="6" t="n">
        <v>0.022</v>
      </c>
      <c r="J54" s="6" t="n">
        <v>0.437</v>
      </c>
      <c r="K54" s="5" t="n">
        <v>1.302</v>
      </c>
      <c r="L54" s="6" t="n">
        <v>0.189</v>
      </c>
      <c r="M54" s="5" t="n">
        <v>0.47</v>
      </c>
      <c r="N54" s="6" t="n">
        <v>0.055</v>
      </c>
      <c r="O54" s="6" t="n">
        <v>0.365</v>
      </c>
      <c r="P54" s="6" t="n">
        <v>0.001</v>
      </c>
      <c r="Q54" s="6" t="n">
        <v>0.062</v>
      </c>
    </row>
    <row r="55">
      <c r="A55" s="7" t="inlineStr">
        <is>
          <t>Consumer Defensive</t>
        </is>
      </c>
      <c r="B55" s="8" t="n">
        <v>2016</v>
      </c>
      <c r="C55" s="9" t="n">
        <v>23.306</v>
      </c>
      <c r="D55" s="9" t="n">
        <v>13.738</v>
      </c>
      <c r="E55" s="9" t="n">
        <v>3.519</v>
      </c>
      <c r="F55" s="9" t="n">
        <v>0.312</v>
      </c>
      <c r="G55" s="10" t="n">
        <v>0.095</v>
      </c>
      <c r="H55" s="10" t="n">
        <v>0.032</v>
      </c>
      <c r="I55" s="10" t="n">
        <v>0.018</v>
      </c>
      <c r="J55" s="10" t="n">
        <v>0.385</v>
      </c>
      <c r="K55" s="9" t="n">
        <v>1.37</v>
      </c>
      <c r="L55" s="10" t="n">
        <v>0.119</v>
      </c>
      <c r="M55" s="9" t="n">
        <v>0.305</v>
      </c>
      <c r="N55" s="10" t="n">
        <v>0.06</v>
      </c>
      <c r="O55" s="10" t="n">
        <v>0.379</v>
      </c>
      <c r="P55" s="10" t="n">
        <v>0.044</v>
      </c>
      <c r="Q55" s="10" t="n">
        <v>0.017</v>
      </c>
    </row>
    <row r="56">
      <c r="A56" s="3" t="inlineStr">
        <is>
          <t>Consumer Defensive</t>
        </is>
      </c>
      <c r="B56" s="4" t="n">
        <v>2017</v>
      </c>
      <c r="C56" s="5" t="n">
        <v>21.056</v>
      </c>
      <c r="D56" s="5" t="n">
        <v>12.526</v>
      </c>
      <c r="E56" s="5" t="n">
        <v>3.141</v>
      </c>
      <c r="F56" s="5" t="n">
        <v>0.175</v>
      </c>
      <c r="G56" s="6" t="n">
        <v>0.09</v>
      </c>
      <c r="H56" s="6" t="n">
        <v>0.035</v>
      </c>
      <c r="I56" s="6" t="n">
        <v>0.019</v>
      </c>
      <c r="J56" s="6" t="n">
        <v>0.298</v>
      </c>
      <c r="K56" s="5" t="n">
        <v>1.338</v>
      </c>
      <c r="L56" s="6" t="n">
        <v>0.15</v>
      </c>
      <c r="M56" s="5" t="n">
        <v>0.465</v>
      </c>
      <c r="N56" s="6" t="n">
        <v>0.061</v>
      </c>
      <c r="O56" s="6" t="n">
        <v>0.362</v>
      </c>
      <c r="P56" s="6" t="n">
        <v>0.146</v>
      </c>
      <c r="Q56" s="6" t="n">
        <v>0.157</v>
      </c>
    </row>
    <row r="57">
      <c r="A57" s="7" t="inlineStr">
        <is>
          <t>Consumer Defensive</t>
        </is>
      </c>
      <c r="B57" s="8" t="n">
        <v>2018</v>
      </c>
      <c r="C57" s="9" t="n">
        <v>19.085</v>
      </c>
      <c r="D57" s="9" t="n">
        <v>11.298</v>
      </c>
      <c r="E57" s="9" t="n">
        <v>3.004</v>
      </c>
      <c r="F57" s="9" t="n">
        <v>0.078</v>
      </c>
      <c r="G57" s="10" t="n">
        <v>0.078</v>
      </c>
      <c r="H57" s="10" t="n">
        <v>0.038</v>
      </c>
      <c r="I57" s="10" t="n">
        <v>0.022</v>
      </c>
      <c r="J57" s="10" t="n">
        <v>0.46</v>
      </c>
      <c r="K57" s="9" t="n">
        <v>1.396</v>
      </c>
      <c r="L57" s="10" t="n">
        <v>0.132</v>
      </c>
      <c r="M57" s="9" t="n">
        <v>0.396</v>
      </c>
      <c r="N57" s="10" t="n">
        <v>0.049</v>
      </c>
      <c r="O57" s="10" t="n">
        <v>0.355</v>
      </c>
      <c r="P57" s="10" t="n">
        <v>0.07099999999999999</v>
      </c>
      <c r="Q57" s="10" t="n">
        <v>0.039</v>
      </c>
    </row>
    <row r="58">
      <c r="A58" s="3" t="inlineStr">
        <is>
          <t>Consumer Defensive</t>
        </is>
      </c>
      <c r="B58" s="4" t="n">
        <v>2019</v>
      </c>
      <c r="C58" s="5" t="n">
        <v>18.759</v>
      </c>
      <c r="D58" s="5" t="n">
        <v>9.442</v>
      </c>
      <c r="E58" s="5" t="n">
        <v>2.195</v>
      </c>
      <c r="F58" s="5" t="n">
        <v>1.425</v>
      </c>
      <c r="G58" s="6" t="n">
        <v>0.07000000000000001</v>
      </c>
      <c r="H58" s="6" t="n">
        <v>0.036</v>
      </c>
      <c r="I58" s="6" t="n">
        <v>0.021</v>
      </c>
      <c r="J58" s="6" t="n">
        <v>0.377</v>
      </c>
      <c r="K58" s="5" t="n">
        <v>1.34</v>
      </c>
      <c r="L58" s="6" t="n">
        <v>0.096</v>
      </c>
      <c r="M58" s="5" t="n">
        <v>0.429</v>
      </c>
      <c r="N58" s="6" t="n">
        <v>0.044</v>
      </c>
      <c r="O58" s="6" t="n">
        <v>0.346</v>
      </c>
      <c r="P58" s="6" t="n">
        <v>0.027</v>
      </c>
      <c r="Q58" s="6" t="n">
        <v>-0.022</v>
      </c>
    </row>
    <row r="59">
      <c r="A59" s="7" t="inlineStr">
        <is>
          <t>Consumer Defensive</t>
        </is>
      </c>
      <c r="B59" s="8" t="n">
        <v>2020</v>
      </c>
      <c r="C59" s="9" t="n">
        <v>14.04</v>
      </c>
      <c r="D59" s="9" t="n">
        <v>11.252</v>
      </c>
      <c r="E59" s="9" t="n">
        <v>2.472</v>
      </c>
      <c r="F59" s="9" t="n">
        <v>0.847</v>
      </c>
      <c r="G59" s="10" t="n">
        <v>0.05</v>
      </c>
      <c r="H59" s="10" t="n">
        <v>0.041</v>
      </c>
      <c r="I59" s="10" t="n">
        <v>0.019</v>
      </c>
      <c r="J59" s="10" t="n">
        <v>0.419</v>
      </c>
      <c r="K59" s="9" t="n">
        <v>1.379</v>
      </c>
      <c r="L59" s="10" t="n">
        <v>0.083</v>
      </c>
      <c r="M59" s="9" t="n">
        <v>0.439</v>
      </c>
      <c r="N59" s="10" t="n">
        <v>0.033</v>
      </c>
      <c r="O59" s="10" t="n">
        <v>0.344</v>
      </c>
      <c r="P59" s="10" t="n">
        <v>-0.001</v>
      </c>
      <c r="Q59" s="10" t="n">
        <v>-0.209</v>
      </c>
    </row>
    <row r="60">
      <c r="A60" s="3" t="inlineStr">
        <is>
          <t>Consumer Defensive</t>
        </is>
      </c>
      <c r="B60" s="4" t="n">
        <v>2021</v>
      </c>
      <c r="C60" s="5" t="n">
        <v>19.868</v>
      </c>
      <c r="D60" s="5" t="n">
        <v>9.762</v>
      </c>
      <c r="E60" s="5" t="n">
        <v>2.703</v>
      </c>
      <c r="F60" s="5" t="n">
        <v>0.036</v>
      </c>
      <c r="G60" s="6" t="n">
        <v>0.047</v>
      </c>
      <c r="H60" s="6" t="n">
        <v>0.039</v>
      </c>
      <c r="I60" s="6" t="n">
        <v>0.019</v>
      </c>
      <c r="J60" s="6" t="n">
        <v>0.41</v>
      </c>
      <c r="K60" s="5" t="n">
        <v>1.6</v>
      </c>
      <c r="L60" s="6" t="n">
        <v>0.092</v>
      </c>
      <c r="M60" s="5" t="n">
        <v>0.44</v>
      </c>
      <c r="N60" s="6" t="n">
        <v>0.053</v>
      </c>
      <c r="O60" s="6" t="n">
        <v>0.361</v>
      </c>
      <c r="P60" s="6" t="n">
        <v>0.093</v>
      </c>
      <c r="Q60" s="6" t="n">
        <v>0.033</v>
      </c>
    </row>
    <row r="61">
      <c r="A61" s="7" t="inlineStr">
        <is>
          <t>Consumer Defensive</t>
        </is>
      </c>
      <c r="B61" s="8" t="n">
        <v>2022</v>
      </c>
      <c r="C61" s="9" t="n">
        <v>14.523</v>
      </c>
      <c r="D61" s="9" t="n">
        <v>9.212999999999999</v>
      </c>
      <c r="E61" s="9" t="n">
        <v>2.324</v>
      </c>
      <c r="F61" s="9" t="n">
        <v>0.006</v>
      </c>
      <c r="G61" s="10" t="n">
        <v>0.063</v>
      </c>
      <c r="H61" s="10" t="n">
        <v>0.033</v>
      </c>
      <c r="I61" s="10" t="n">
        <v>0.03</v>
      </c>
      <c r="J61" s="10" t="n">
        <v>0.488</v>
      </c>
      <c r="K61" s="9" t="n">
        <v>1.572</v>
      </c>
      <c r="L61" s="10" t="n">
        <v>0.119</v>
      </c>
      <c r="M61" s="9" t="n">
        <v>0.433</v>
      </c>
      <c r="N61" s="10" t="n">
        <v>0.061</v>
      </c>
      <c r="O61" s="10" t="n">
        <v>0.347</v>
      </c>
      <c r="P61" s="10" t="n">
        <v>0.135</v>
      </c>
      <c r="Q61" s="10" t="n">
        <v>-0.067</v>
      </c>
    </row>
    <row r="62">
      <c r="A62" s="3" t="inlineStr">
        <is>
          <t>Consumer Defensive</t>
        </is>
      </c>
      <c r="B62" s="4" t="n">
        <v>2023</v>
      </c>
      <c r="C62" s="5" t="n">
        <v>15.761</v>
      </c>
      <c r="D62" s="5" t="n">
        <v>9.443</v>
      </c>
      <c r="E62" s="5" t="n">
        <v>2.231</v>
      </c>
      <c r="F62" s="5" t="n">
        <v>0.01</v>
      </c>
      <c r="G62" s="6" t="n">
        <v>0.076</v>
      </c>
      <c r="H62" s="6" t="n">
        <v>0.057</v>
      </c>
      <c r="I62" s="6" t="n">
        <v>0.024</v>
      </c>
      <c r="J62" s="6" t="n">
        <v>0.33</v>
      </c>
      <c r="K62" s="5" t="n">
        <v>1.717</v>
      </c>
      <c r="L62" s="6" t="n">
        <v>0.099</v>
      </c>
      <c r="M62" s="5" t="n">
        <v>0.6</v>
      </c>
      <c r="N62" s="6" t="n">
        <v>0.053</v>
      </c>
      <c r="O62" s="6" t="n">
        <v>0.363</v>
      </c>
      <c r="P62" s="6" t="n">
        <v>0.052</v>
      </c>
      <c r="Q62" s="6" t="n">
        <v>-0.24</v>
      </c>
    </row>
    <row r="63">
      <c r="A63" s="7" t="inlineStr">
        <is>
          <t>Consumer Defensive</t>
        </is>
      </c>
      <c r="B63" s="8" t="n">
        <v>2024</v>
      </c>
      <c r="C63" s="9" t="n">
        <v>13.293</v>
      </c>
      <c r="D63" s="9" t="n">
        <v>7.808</v>
      </c>
      <c r="E63" s="9" t="n">
        <v>1.856</v>
      </c>
      <c r="F63" s="9" t="n">
        <v>0.004</v>
      </c>
      <c r="G63" s="10" t="n">
        <v>0.083</v>
      </c>
      <c r="H63" s="10" t="n">
        <v>0.054</v>
      </c>
      <c r="I63" s="10" t="n">
        <v>0.025</v>
      </c>
      <c r="J63" s="10" t="n">
        <v>0.385</v>
      </c>
      <c r="K63" s="9" t="n">
        <v>1.518</v>
      </c>
      <c r="L63" s="10" t="n">
        <v>0.123</v>
      </c>
      <c r="M63" s="9" t="n">
        <v>0.403</v>
      </c>
      <c r="N63" s="10" t="n">
        <v>0.068</v>
      </c>
      <c r="O63" s="10" t="n">
        <v>0.363</v>
      </c>
      <c r="P63" s="10" t="n">
        <v>0.012</v>
      </c>
      <c r="Q63" s="10" t="n">
        <v>0.07099999999999999</v>
      </c>
    </row>
    <row r="64">
      <c r="A64" s="3" t="inlineStr">
        <is>
          <t>Consumer Defensive</t>
        </is>
      </c>
      <c r="B64" s="4" t="n">
        <v>2025</v>
      </c>
      <c r="C64" s="5" t="n">
        <v>12.577</v>
      </c>
      <c r="D64" s="5" t="n">
        <v>8.819000000000001</v>
      </c>
      <c r="E64" s="5" t="n">
        <v>2.051</v>
      </c>
      <c r="F64" s="5" t="n">
        <v>0.037</v>
      </c>
      <c r="G64" s="6" t="n">
        <v>0.08400000000000001</v>
      </c>
      <c r="H64" s="6" t="n">
        <v>0.056</v>
      </c>
      <c r="I64" s="6" t="n">
        <v>0.036</v>
      </c>
      <c r="J64" s="6" t="n">
        <v>0.529</v>
      </c>
      <c r="K64" s="5" t="n">
        <v>1.585</v>
      </c>
      <c r="L64" s="6" t="n">
        <v>0.161</v>
      </c>
      <c r="M64" s="5" t="n">
        <v>0.715</v>
      </c>
      <c r="N64" s="6" t="n">
        <v>0.076</v>
      </c>
      <c r="O64" s="6" t="n">
        <v>0.374</v>
      </c>
      <c r="P64" s="6" t="n">
        <v>0.03</v>
      </c>
      <c r="Q64" s="6" t="n">
        <v>0.016</v>
      </c>
    </row>
    <row r="65">
      <c r="A65" s="7" t="inlineStr">
        <is>
          <t>Consumer Defensive</t>
        </is>
      </c>
      <c r="B65" s="8" t="n">
        <v>2026</v>
      </c>
      <c r="C65" s="9" t="n">
        <v>17.5</v>
      </c>
      <c r="D65" s="9" t="n">
        <v>8.747999999999999</v>
      </c>
      <c r="E65" s="9" t="n">
        <v>2.103</v>
      </c>
      <c r="F65" s="9" t="n">
        <v>0.986</v>
      </c>
      <c r="G65" s="10" t="n">
        <v>0.08400000000000001</v>
      </c>
      <c r="H65" s="10" t="n">
        <v>0.076</v>
      </c>
      <c r="I65" s="10" t="n">
        <v>0.03</v>
      </c>
      <c r="J65" s="10" t="n">
        <v>0.524</v>
      </c>
      <c r="K65" s="9" t="n">
        <v>1.668</v>
      </c>
      <c r="L65" s="10" t="n">
        <v>0.139</v>
      </c>
      <c r="M65" s="9" t="n">
        <v>0.8100000000000001</v>
      </c>
      <c r="N65" s="10" t="n">
        <v>0.048</v>
      </c>
      <c r="O65" s="10" t="n">
        <v>0.075</v>
      </c>
      <c r="P65" s="10" t="n">
        <v>0.054</v>
      </c>
      <c r="Q65" s="10" t="n">
        <v>0.179</v>
      </c>
    </row>
    <row r="66">
      <c r="A66" s="3" t="inlineStr">
        <is>
          <t>Energy</t>
        </is>
      </c>
      <c r="B66" s="4" t="n">
        <v>2011</v>
      </c>
      <c r="C66" s="5" t="n">
        <v>0.624</v>
      </c>
      <c r="D66" s="5" t="n">
        <v>1.038</v>
      </c>
      <c r="E66" s="5" t="n">
        <v>1.227</v>
      </c>
      <c r="F66" s="5" t="n">
        <v>2.765</v>
      </c>
      <c r="G66" s="6" t="n">
        <v>-0.008999999999999999</v>
      </c>
      <c r="H66" s="6" t="n">
        <v>-0.017</v>
      </c>
      <c r="I66" s="6" t="n">
        <v>0</v>
      </c>
      <c r="J66" s="6" t="n">
        <v>0</v>
      </c>
      <c r="K66" s="5" t="n">
        <v>2.314</v>
      </c>
      <c r="L66" s="6" t="n">
        <v>0.024</v>
      </c>
      <c r="M66" s="5" t="n">
        <v>0</v>
      </c>
      <c r="N66" s="6" t="n">
        <v>0.067</v>
      </c>
      <c r="O66" s="6" t="n">
        <v>0.273</v>
      </c>
      <c r="P66" s="6" t="n"/>
      <c r="Q66" s="6" t="n"/>
    </row>
    <row r="67">
      <c r="A67" s="7" t="inlineStr">
        <is>
          <t>Energy</t>
        </is>
      </c>
      <c r="B67" s="8" t="n">
        <v>2012</v>
      </c>
      <c r="C67" s="9" t="n">
        <v>16.85</v>
      </c>
      <c r="D67" s="9" t="n">
        <v>8.901</v>
      </c>
      <c r="E67" s="9" t="n">
        <v>1.232</v>
      </c>
      <c r="F67" s="9" t="n">
        <v>0</v>
      </c>
      <c r="G67" s="10" t="n">
        <v>-0.025</v>
      </c>
      <c r="H67" s="10" t="n">
        <v>-0.044</v>
      </c>
      <c r="I67" s="10" t="n">
        <v>0</v>
      </c>
      <c r="J67" s="10" t="n">
        <v>0</v>
      </c>
      <c r="K67" s="9" t="n">
        <v>2.162</v>
      </c>
      <c r="L67" s="10" t="n">
        <v>-0.041</v>
      </c>
      <c r="M67" s="9" t="n">
        <v>0</v>
      </c>
      <c r="N67" s="10" t="n">
        <v>0.029</v>
      </c>
      <c r="O67" s="10" t="n">
        <v>0.301</v>
      </c>
      <c r="P67" s="10" t="n">
        <v>0.297</v>
      </c>
      <c r="Q67" s="10" t="n">
        <v>-0.08799999999999999</v>
      </c>
    </row>
    <row r="68">
      <c r="A68" s="3" t="inlineStr">
        <is>
          <t>Energy</t>
        </is>
      </c>
      <c r="B68" s="4" t="n">
        <v>2013</v>
      </c>
      <c r="C68" s="5" t="n">
        <v>27.261</v>
      </c>
      <c r="D68" s="5" t="n">
        <v>8.241</v>
      </c>
      <c r="E68" s="5" t="n">
        <v>1.378</v>
      </c>
      <c r="F68" s="5" t="n">
        <v>0.001</v>
      </c>
      <c r="G68" s="6" t="n">
        <v>-0.025</v>
      </c>
      <c r="H68" s="6" t="n">
        <v>-0.033</v>
      </c>
      <c r="I68" s="6" t="n">
        <v>0</v>
      </c>
      <c r="J68" s="6" t="n">
        <v>0</v>
      </c>
      <c r="K68" s="5" t="n">
        <v>2.168</v>
      </c>
      <c r="L68" s="6" t="n">
        <v>-0.052</v>
      </c>
      <c r="M68" s="5" t="n">
        <v>0.04</v>
      </c>
      <c r="N68" s="6" t="n">
        <v>0.062</v>
      </c>
      <c r="O68" s="6" t="n">
        <v>0.261</v>
      </c>
      <c r="P68" s="6" t="n">
        <v>0.022</v>
      </c>
      <c r="Q68" s="6" t="n">
        <v>-0.181</v>
      </c>
    </row>
    <row r="69">
      <c r="A69" s="7" t="inlineStr">
        <is>
          <t>Energy</t>
        </is>
      </c>
      <c r="B69" s="8" t="n">
        <v>2014</v>
      </c>
      <c r="C69" s="9" t="n">
        <v>39.838</v>
      </c>
      <c r="D69" s="9" t="n">
        <v>13.089</v>
      </c>
      <c r="E69" s="9" t="n">
        <v>1.217</v>
      </c>
      <c r="F69" s="9" t="n">
        <v>0.336</v>
      </c>
      <c r="G69" s="10" t="n">
        <v>-0.05</v>
      </c>
      <c r="H69" s="10" t="n">
        <v>-0.016</v>
      </c>
      <c r="I69" s="10" t="n">
        <v>0</v>
      </c>
      <c r="J69" s="10" t="n">
        <v>0</v>
      </c>
      <c r="K69" s="9" t="n">
        <v>2.865</v>
      </c>
      <c r="L69" s="10" t="n">
        <v>-0.081</v>
      </c>
      <c r="M69" s="9" t="n">
        <v>0.008999999999999999</v>
      </c>
      <c r="N69" s="10" t="n">
        <v>0.011</v>
      </c>
      <c r="O69" s="10" t="n">
        <v>0.258</v>
      </c>
      <c r="P69" s="10" t="n">
        <v>-0.08500000000000001</v>
      </c>
      <c r="Q69" s="10" t="n">
        <v>-0.406</v>
      </c>
    </row>
    <row r="70">
      <c r="A70" s="3" t="inlineStr">
        <is>
          <t>Energy</t>
        </is>
      </c>
      <c r="B70" s="4" t="n">
        <v>2015</v>
      </c>
      <c r="C70" s="5" t="n">
        <v>24.241</v>
      </c>
      <c r="D70" s="5" t="n">
        <v>9.720000000000001</v>
      </c>
      <c r="E70" s="5" t="n">
        <v>0.882</v>
      </c>
      <c r="F70" s="5" t="n">
        <v>0.007</v>
      </c>
      <c r="G70" s="6" t="n">
        <v>-0.067</v>
      </c>
      <c r="H70" s="6" t="n">
        <v>-0.053</v>
      </c>
      <c r="I70" s="6" t="n">
        <v>0</v>
      </c>
      <c r="J70" s="6" t="n">
        <v>0</v>
      </c>
      <c r="K70" s="5" t="n">
        <v>3.588</v>
      </c>
      <c r="L70" s="6" t="n">
        <v>-0.153</v>
      </c>
      <c r="M70" s="5" t="n">
        <v>0.004</v>
      </c>
      <c r="N70" s="6" t="n">
        <v>-0.412</v>
      </c>
      <c r="O70" s="6" t="n">
        <v>0.121</v>
      </c>
      <c r="P70" s="6" t="n">
        <v>-0.37</v>
      </c>
      <c r="Q70" s="6" t="n">
        <v>-0.333</v>
      </c>
    </row>
    <row r="71">
      <c r="A71" s="7" t="inlineStr">
        <is>
          <t>Energy</t>
        </is>
      </c>
      <c r="B71" s="8" t="n">
        <v>2016</v>
      </c>
      <c r="C71" s="9" t="n">
        <v>20.846</v>
      </c>
      <c r="D71" s="9" t="n">
        <v>11.212</v>
      </c>
      <c r="E71" s="9" t="n">
        <v>1.218</v>
      </c>
      <c r="F71" s="9" t="n">
        <v>0.056</v>
      </c>
      <c r="G71" s="10" t="n">
        <v>-0.048</v>
      </c>
      <c r="H71" s="10" t="n">
        <v>-0.04</v>
      </c>
      <c r="I71" s="10" t="n">
        <v>0</v>
      </c>
      <c r="J71" s="10" t="n">
        <v>0</v>
      </c>
      <c r="K71" s="9" t="n">
        <v>3.376</v>
      </c>
      <c r="L71" s="10" t="n">
        <v>-0.079</v>
      </c>
      <c r="M71" s="9" t="n">
        <v>0</v>
      </c>
      <c r="N71" s="10" t="n">
        <v>-0.3</v>
      </c>
      <c r="O71" s="10" t="n">
        <v>0.114</v>
      </c>
      <c r="P71" s="10" t="n">
        <v>-0.194</v>
      </c>
      <c r="Q71" s="10" t="n">
        <v>-0.245</v>
      </c>
    </row>
    <row r="72">
      <c r="A72" s="3" t="inlineStr">
        <is>
          <t>Energy</t>
        </is>
      </c>
      <c r="B72" s="4" t="n">
        <v>2017</v>
      </c>
      <c r="C72" s="5" t="n">
        <v>23.177</v>
      </c>
      <c r="D72" s="5" t="n">
        <v>0.022</v>
      </c>
      <c r="E72" s="5" t="n">
        <v>1.288</v>
      </c>
      <c r="F72" s="5" t="n">
        <v>0.01</v>
      </c>
      <c r="G72" s="6" t="n">
        <v>-0.037</v>
      </c>
      <c r="H72" s="6" t="n">
        <v>-0.043</v>
      </c>
      <c r="I72" s="6" t="n">
        <v>0</v>
      </c>
      <c r="J72" s="6" t="n">
        <v>0</v>
      </c>
      <c r="K72" s="5" t="n">
        <v>3.196</v>
      </c>
      <c r="L72" s="6" t="n">
        <v>-0.045</v>
      </c>
      <c r="M72" s="5" t="n">
        <v>0.006</v>
      </c>
      <c r="N72" s="6" t="n">
        <v>-0.101</v>
      </c>
      <c r="O72" s="6" t="n">
        <v>0.118</v>
      </c>
      <c r="P72" s="6" t="n">
        <v>0.313</v>
      </c>
      <c r="Q72" s="6" t="n">
        <v>-0.081</v>
      </c>
    </row>
    <row r="73">
      <c r="A73" s="7" t="inlineStr">
        <is>
          <t>Energy</t>
        </is>
      </c>
      <c r="B73" s="8" t="n">
        <v>2018</v>
      </c>
      <c r="C73" s="9" t="n">
        <v>18.934</v>
      </c>
      <c r="D73" s="9" t="n">
        <v>6.898</v>
      </c>
      <c r="E73" s="9" t="n">
        <v>1.123</v>
      </c>
      <c r="F73" s="9" t="n">
        <v>0.002</v>
      </c>
      <c r="G73" s="10" t="n">
        <v>-0.044</v>
      </c>
      <c r="H73" s="10" t="n">
        <v>-0.044</v>
      </c>
      <c r="I73" s="10" t="n">
        <v>0</v>
      </c>
      <c r="J73" s="10" t="n">
        <v>0</v>
      </c>
      <c r="K73" s="9" t="n">
        <v>1.741</v>
      </c>
      <c r="L73" s="10" t="n">
        <v>-0.03</v>
      </c>
      <c r="M73" s="9" t="n">
        <v>0.062</v>
      </c>
      <c r="N73" s="10" t="n">
        <v>-0.055</v>
      </c>
      <c r="O73" s="10" t="n">
        <v>0.325</v>
      </c>
      <c r="P73" s="10" t="n">
        <v>0.251</v>
      </c>
      <c r="Q73" s="10" t="n">
        <v>-0.066</v>
      </c>
    </row>
    <row r="74">
      <c r="A74" s="3" t="inlineStr">
        <is>
          <t>Energy</t>
        </is>
      </c>
      <c r="B74" s="4" t="n">
        <v>2019</v>
      </c>
      <c r="C74" s="5" t="n">
        <v>23.193</v>
      </c>
      <c r="D74" s="5" t="n">
        <v>8.438000000000001</v>
      </c>
      <c r="E74" s="5" t="n">
        <v>0.869</v>
      </c>
      <c r="F74" s="5" t="n">
        <v>1.072</v>
      </c>
      <c r="G74" s="6" t="n">
        <v>-0.021</v>
      </c>
      <c r="H74" s="6" t="n">
        <v>-0.093</v>
      </c>
      <c r="I74" s="6" t="n">
        <v>0</v>
      </c>
      <c r="J74" s="6" t="n">
        <v>0</v>
      </c>
      <c r="K74" s="5" t="n">
        <v>1.825</v>
      </c>
      <c r="L74" s="6" t="n">
        <v>-0.049</v>
      </c>
      <c r="M74" s="5" t="n">
        <v>0.064</v>
      </c>
      <c r="N74" s="6" t="n">
        <v>-0.08599999999999999</v>
      </c>
      <c r="O74" s="6" t="n">
        <v>0.295</v>
      </c>
      <c r="P74" s="6" t="n">
        <v>-0.014</v>
      </c>
      <c r="Q74" s="6" t="n">
        <v>-0.329</v>
      </c>
    </row>
    <row r="75">
      <c r="A75" s="7" t="inlineStr">
        <is>
          <t>Energy</t>
        </is>
      </c>
      <c r="B75" s="8" t="n">
        <v>2020</v>
      </c>
      <c r="C75" s="9" t="n">
        <v>23.091</v>
      </c>
      <c r="D75" s="9" t="n">
        <v>16.564</v>
      </c>
      <c r="E75" s="9" t="n">
        <v>0.901</v>
      </c>
      <c r="F75" s="9" t="n">
        <v>0.004</v>
      </c>
      <c r="G75" s="10" t="n">
        <v>-0.064</v>
      </c>
      <c r="H75" s="10" t="n">
        <v>-0.04</v>
      </c>
      <c r="I75" s="10" t="n">
        <v>0</v>
      </c>
      <c r="J75" s="10" t="n">
        <v>0</v>
      </c>
      <c r="K75" s="9" t="n">
        <v>1.417</v>
      </c>
      <c r="L75" s="10" t="n">
        <v>-0.153</v>
      </c>
      <c r="M75" s="9" t="n">
        <v>0.093</v>
      </c>
      <c r="N75" s="10" t="n">
        <v>-0.544</v>
      </c>
      <c r="O75" s="10" t="n">
        <v>0.109</v>
      </c>
      <c r="P75" s="10" t="n">
        <v>-0.274</v>
      </c>
      <c r="Q75" s="10" t="n">
        <v>-0.273</v>
      </c>
    </row>
    <row r="76">
      <c r="A76" s="3" t="inlineStr">
        <is>
          <t>Energy</t>
        </is>
      </c>
      <c r="B76" s="4" t="n">
        <v>2021</v>
      </c>
      <c r="C76" s="5" t="n">
        <v>28.434</v>
      </c>
      <c r="D76" s="5" t="n">
        <v>0.902</v>
      </c>
      <c r="E76" s="5" t="n">
        <v>0.848</v>
      </c>
      <c r="F76" s="5" t="n">
        <v>0.001</v>
      </c>
      <c r="G76" s="6" t="n">
        <v>-0.026</v>
      </c>
      <c r="H76" s="6" t="n">
        <v>-0.08</v>
      </c>
      <c r="I76" s="6" t="n">
        <v>0</v>
      </c>
      <c r="J76" s="6" t="n">
        <v>0</v>
      </c>
      <c r="K76" s="5" t="n">
        <v>1.614</v>
      </c>
      <c r="L76" s="6" t="n">
        <v>-0.025</v>
      </c>
      <c r="M76" s="5" t="n">
        <v>0.109</v>
      </c>
      <c r="N76" s="6" t="n">
        <v>-0.063</v>
      </c>
      <c r="O76" s="6" t="n">
        <v>0.364</v>
      </c>
      <c r="P76" s="6" t="n">
        <v>0.448</v>
      </c>
      <c r="Q76" s="6" t="n">
        <v>-0.607</v>
      </c>
    </row>
    <row r="77">
      <c r="A77" s="7" t="inlineStr">
        <is>
          <t>Energy</t>
        </is>
      </c>
      <c r="B77" s="8" t="n">
        <v>2022</v>
      </c>
      <c r="C77" s="9" t="n">
        <v>18.495</v>
      </c>
      <c r="D77" s="9" t="n">
        <v>1.158</v>
      </c>
      <c r="E77" s="9" t="n">
        <v>0.991</v>
      </c>
      <c r="F77" s="9" t="n">
        <v>0.33</v>
      </c>
      <c r="G77" s="10" t="n">
        <v>0.002</v>
      </c>
      <c r="H77" s="10" t="n">
        <v>0.012</v>
      </c>
      <c r="I77" s="10" t="n">
        <v>0</v>
      </c>
      <c r="J77" s="10" t="n">
        <v>0</v>
      </c>
      <c r="K77" s="9" t="n">
        <v>1.424</v>
      </c>
      <c r="L77" s="10" t="n">
        <v>-0.01</v>
      </c>
      <c r="M77" s="9" t="n">
        <v>0.145</v>
      </c>
      <c r="N77" s="10" t="n">
        <v>0.008</v>
      </c>
      <c r="O77" s="10" t="n">
        <v>0.514</v>
      </c>
      <c r="P77" s="10" t="n">
        <v>0.464</v>
      </c>
      <c r="Q77" s="10" t="n">
        <v>-0.253</v>
      </c>
    </row>
    <row r="78">
      <c r="A78" s="3" t="inlineStr">
        <is>
          <t>Energy</t>
        </is>
      </c>
      <c r="B78" s="4" t="n">
        <v>2023</v>
      </c>
      <c r="C78" s="5" t="n">
        <v>10.747</v>
      </c>
      <c r="D78" s="5" t="n">
        <v>1.89</v>
      </c>
      <c r="E78" s="5" t="n">
        <v>0.787</v>
      </c>
      <c r="F78" s="5" t="n">
        <v>0.011</v>
      </c>
      <c r="G78" s="6" t="n">
        <v>0.001</v>
      </c>
      <c r="H78" s="6" t="n">
        <v>-0.014</v>
      </c>
      <c r="I78" s="6" t="n">
        <v>0</v>
      </c>
      <c r="J78" s="6" t="n">
        <v>0</v>
      </c>
      <c r="K78" s="5" t="n">
        <v>1.414</v>
      </c>
      <c r="L78" s="6" t="n">
        <v>-0.008999999999999999</v>
      </c>
      <c r="M78" s="5" t="n">
        <v>0.118</v>
      </c>
      <c r="N78" s="6" t="n">
        <v>0.037</v>
      </c>
      <c r="O78" s="6" t="n">
        <v>0.405</v>
      </c>
      <c r="P78" s="6" t="n">
        <v>-0.111</v>
      </c>
      <c r="Q78" s="6" t="n">
        <v>-0.729</v>
      </c>
    </row>
    <row r="79">
      <c r="A79" s="7" t="inlineStr">
        <is>
          <t>Energy</t>
        </is>
      </c>
      <c r="B79" s="8" t="n">
        <v>2024</v>
      </c>
      <c r="C79" s="9" t="n">
        <v>12.191</v>
      </c>
      <c r="D79" s="9" t="n">
        <v>0.643</v>
      </c>
      <c r="E79" s="9" t="n">
        <v>0.821</v>
      </c>
      <c r="F79" s="9" t="n">
        <v>0.732</v>
      </c>
      <c r="G79" s="10" t="n">
        <v>-0.02</v>
      </c>
      <c r="H79" s="10" t="n">
        <v>0.007</v>
      </c>
      <c r="I79" s="10" t="n">
        <v>0</v>
      </c>
      <c r="J79" s="10" t="n">
        <v>0</v>
      </c>
      <c r="K79" s="9" t="n">
        <v>1.54</v>
      </c>
      <c r="L79" s="10" t="n">
        <v>-0.015</v>
      </c>
      <c r="M79" s="9" t="n">
        <v>0.079</v>
      </c>
      <c r="N79" s="10" t="n">
        <v>0.002</v>
      </c>
      <c r="O79" s="10" t="n">
        <v>0.32</v>
      </c>
      <c r="P79" s="10" t="n">
        <v>-0.11</v>
      </c>
      <c r="Q79" s="10" t="n">
        <v>-0.099</v>
      </c>
    </row>
    <row r="80">
      <c r="A80" s="3" t="inlineStr">
        <is>
          <t>Energy</t>
        </is>
      </c>
      <c r="B80" s="4" t="n">
        <v>2025</v>
      </c>
      <c r="C80" s="5" t="n">
        <v>38.708</v>
      </c>
      <c r="D80" s="5" t="n">
        <v>2.437</v>
      </c>
      <c r="E80" s="5" t="n">
        <v>0.89</v>
      </c>
      <c r="F80" s="5" t="n">
        <v>0.047</v>
      </c>
      <c r="G80" s="6" t="n">
        <v>-0.014</v>
      </c>
      <c r="H80" s="6" t="n">
        <v>0.043</v>
      </c>
      <c r="I80" s="6" t="n">
        <v>0</v>
      </c>
      <c r="J80" s="6" t="n">
        <v>0</v>
      </c>
      <c r="K80" s="5" t="n">
        <v>1.263</v>
      </c>
      <c r="L80" s="6" t="n">
        <v>-0.028</v>
      </c>
      <c r="M80" s="5" t="n">
        <v>0.212</v>
      </c>
      <c r="N80" s="6" t="n">
        <v>-0.029</v>
      </c>
      <c r="O80" s="6" t="n">
        <v>0.228</v>
      </c>
      <c r="P80" s="6" t="n">
        <v>-0.078</v>
      </c>
      <c r="Q80" s="6" t="n">
        <v>-0.856</v>
      </c>
    </row>
    <row r="81">
      <c r="A81" s="7" t="inlineStr">
        <is>
          <t>Financial Services</t>
        </is>
      </c>
      <c r="B81" s="8" t="n">
        <v>2011</v>
      </c>
      <c r="C81" s="9" t="n">
        <v>7.443</v>
      </c>
      <c r="D81" s="9" t="n">
        <v>19.591</v>
      </c>
      <c r="E81" s="9" t="n">
        <v>0.916</v>
      </c>
      <c r="F81" s="9" t="n">
        <v>0.024</v>
      </c>
      <c r="G81" s="10" t="n">
        <v>0.005</v>
      </c>
      <c r="H81" s="10" t="n">
        <v>0.007</v>
      </c>
      <c r="I81" s="10" t="n">
        <v>0.028</v>
      </c>
      <c r="J81" s="10" t="n">
        <v>0</v>
      </c>
      <c r="K81" s="9" t="n">
        <v>3.559</v>
      </c>
      <c r="L81" s="10" t="n">
        <v>0.02</v>
      </c>
      <c r="M81" s="9" t="n">
        <v>0</v>
      </c>
      <c r="N81" s="10" t="n">
        <v>0.113</v>
      </c>
      <c r="O81" s="10" t="n">
        <v>0.997</v>
      </c>
      <c r="P81" s="10" t="n"/>
      <c r="Q81" s="10" t="n"/>
    </row>
    <row r="82">
      <c r="A82" s="3" t="inlineStr">
        <is>
          <t>Financial Services</t>
        </is>
      </c>
      <c r="B82" s="4" t="n">
        <v>2012</v>
      </c>
      <c r="C82" s="5" t="n">
        <v>6.99</v>
      </c>
      <c r="D82" s="5" t="n">
        <v>16.117</v>
      </c>
      <c r="E82" s="5" t="n">
        <v>0.949</v>
      </c>
      <c r="F82" s="5" t="n">
        <v>0</v>
      </c>
      <c r="G82" s="6" t="n">
        <v>0.048</v>
      </c>
      <c r="H82" s="6" t="n">
        <v>0.012</v>
      </c>
      <c r="I82" s="6" t="n">
        <v>0.02</v>
      </c>
      <c r="J82" s="6" t="n">
        <v>0.126</v>
      </c>
      <c r="K82" s="5" t="n">
        <v>3.435</v>
      </c>
      <c r="L82" s="6" t="n">
        <v>0.093</v>
      </c>
      <c r="M82" s="5" t="n">
        <v>0.002</v>
      </c>
      <c r="N82" s="6" t="n">
        <v>0.296</v>
      </c>
      <c r="O82" s="6" t="n">
        <v>1</v>
      </c>
      <c r="P82" s="6" t="n">
        <v>0.077</v>
      </c>
      <c r="Q82" s="6" t="n">
        <v>-0.036</v>
      </c>
    </row>
    <row r="83">
      <c r="A83" s="7" t="inlineStr">
        <is>
          <t>Financial Services</t>
        </is>
      </c>
      <c r="B83" s="8" t="n">
        <v>2013</v>
      </c>
      <c r="C83" s="9" t="n">
        <v>9.705</v>
      </c>
      <c r="D83" s="9" t="n">
        <v>17.748</v>
      </c>
      <c r="E83" s="9" t="n">
        <v>0.961</v>
      </c>
      <c r="F83" s="9" t="n">
        <v>0</v>
      </c>
      <c r="G83" s="10" t="n">
        <v>0.068</v>
      </c>
      <c r="H83" s="10" t="n">
        <v>0.005</v>
      </c>
      <c r="I83" s="10" t="n">
        <v>0.022</v>
      </c>
      <c r="J83" s="10" t="n">
        <v>0.204</v>
      </c>
      <c r="K83" s="9" t="n">
        <v>6.173</v>
      </c>
      <c r="L83" s="10" t="n">
        <v>0.101</v>
      </c>
      <c r="M83" s="9" t="n">
        <v>0.001</v>
      </c>
      <c r="N83" s="10" t="n">
        <v>0.424</v>
      </c>
      <c r="O83" s="10" t="n">
        <v>1</v>
      </c>
      <c r="P83" s="10" t="n">
        <v>0.09</v>
      </c>
      <c r="Q83" s="10" t="n">
        <v>0.106</v>
      </c>
    </row>
    <row r="84">
      <c r="A84" s="3" t="inlineStr">
        <is>
          <t>Financial Services</t>
        </is>
      </c>
      <c r="B84" s="4" t="n">
        <v>2014</v>
      </c>
      <c r="C84" s="5" t="n">
        <v>12.032</v>
      </c>
      <c r="D84" s="5" t="n">
        <v>16.163</v>
      </c>
      <c r="E84" s="5" t="n">
        <v>0.979</v>
      </c>
      <c r="F84" s="5" t="n">
        <v>0.987</v>
      </c>
      <c r="G84" s="6" t="n">
        <v>0.055</v>
      </c>
      <c r="H84" s="6" t="n">
        <v>0.002</v>
      </c>
      <c r="I84" s="6" t="n">
        <v>0.023</v>
      </c>
      <c r="J84" s="6" t="n">
        <v>0.309</v>
      </c>
      <c r="K84" s="5" t="n">
        <v>6.65</v>
      </c>
      <c r="L84" s="6" t="n">
        <v>0.078</v>
      </c>
      <c r="M84" s="5" t="n">
        <v>0.002</v>
      </c>
      <c r="N84" s="6" t="n">
        <v>0.436</v>
      </c>
      <c r="O84" s="6" t="n">
        <v>1</v>
      </c>
      <c r="P84" s="6" t="n">
        <v>-0.08799999999999999</v>
      </c>
      <c r="Q84" s="6" t="n">
        <v>-0.165</v>
      </c>
    </row>
    <row r="85">
      <c r="A85" s="7" t="inlineStr">
        <is>
          <t>Financial Services</t>
        </is>
      </c>
      <c r="B85" s="8" t="n">
        <v>2015</v>
      </c>
      <c r="C85" s="9" t="n">
        <v>9.587</v>
      </c>
      <c r="D85" s="9" t="n">
        <v>16.891</v>
      </c>
      <c r="E85" s="9" t="n">
        <v>1.029</v>
      </c>
      <c r="F85" s="9" t="n">
        <v>0.039</v>
      </c>
      <c r="G85" s="10" t="n">
        <v>0.038</v>
      </c>
      <c r="H85" s="10" t="n">
        <v>0.005</v>
      </c>
      <c r="I85" s="10" t="n">
        <v>0.025</v>
      </c>
      <c r="J85" s="10" t="n">
        <v>0.263</v>
      </c>
      <c r="K85" s="9" t="n">
        <v>5.597</v>
      </c>
      <c r="L85" s="10" t="n">
        <v>0.07099999999999999</v>
      </c>
      <c r="M85" s="9" t="n">
        <v>0.002</v>
      </c>
      <c r="N85" s="10" t="n">
        <v>0.265</v>
      </c>
      <c r="O85" s="10" t="n">
        <v>0.999</v>
      </c>
      <c r="P85" s="10" t="n">
        <v>0.042</v>
      </c>
      <c r="Q85" s="10" t="n">
        <v>0.064</v>
      </c>
    </row>
    <row r="86">
      <c r="A86" s="3" t="inlineStr">
        <is>
          <t>Financial Services</t>
        </is>
      </c>
      <c r="B86" s="4" t="n">
        <v>2016</v>
      </c>
      <c r="C86" s="5" t="n">
        <v>8.609</v>
      </c>
      <c r="D86" s="5" t="n">
        <v>12.944</v>
      </c>
      <c r="E86" s="5" t="n">
        <v>0.947</v>
      </c>
      <c r="F86" s="5" t="n">
        <v>6.149</v>
      </c>
      <c r="G86" s="6" t="n">
        <v>0.073</v>
      </c>
      <c r="H86" s="6" t="n">
        <v>0.012</v>
      </c>
      <c r="I86" s="6" t="n">
        <v>0.028</v>
      </c>
      <c r="J86" s="6" t="n">
        <v>0.215</v>
      </c>
      <c r="K86" s="5" t="n">
        <v>4.995</v>
      </c>
      <c r="L86" s="6" t="n">
        <v>0.09</v>
      </c>
      <c r="M86" s="5" t="n">
        <v>0.001</v>
      </c>
      <c r="N86" s="6" t="n">
        <v>0.35</v>
      </c>
      <c r="O86" s="6" t="n">
        <v>0.928</v>
      </c>
      <c r="P86" s="6" t="n">
        <v>0.07000000000000001</v>
      </c>
      <c r="Q86" s="6" t="n">
        <v>-0.075</v>
      </c>
    </row>
    <row r="87">
      <c r="A87" s="7" t="inlineStr">
        <is>
          <t>Financial Services</t>
        </is>
      </c>
      <c r="B87" s="8" t="n">
        <v>2017</v>
      </c>
      <c r="C87" s="9" t="n">
        <v>10.974</v>
      </c>
      <c r="D87" s="9" t="n">
        <v>13.356</v>
      </c>
      <c r="E87" s="9" t="n">
        <v>0.973</v>
      </c>
      <c r="F87" s="9" t="n">
        <v>0.01</v>
      </c>
      <c r="G87" s="10" t="n">
        <v>0.049</v>
      </c>
      <c r="H87" s="10" t="n">
        <v>0.011</v>
      </c>
      <c r="I87" s="10" t="n">
        <v>0.029</v>
      </c>
      <c r="J87" s="10" t="n">
        <v>0.354</v>
      </c>
      <c r="K87" s="9" t="n">
        <v>6.544</v>
      </c>
      <c r="L87" s="10" t="n">
        <v>0.079</v>
      </c>
      <c r="M87" s="9" t="n">
        <v>0.001</v>
      </c>
      <c r="N87" s="10" t="n">
        <v>0.42</v>
      </c>
      <c r="O87" s="10" t="n">
        <v>0.921</v>
      </c>
      <c r="P87" s="10" t="n">
        <v>0.049</v>
      </c>
      <c r="Q87" s="10" t="n">
        <v>-0.012</v>
      </c>
    </row>
    <row r="88">
      <c r="A88" s="3" t="inlineStr">
        <is>
          <t>Financial Services</t>
        </is>
      </c>
      <c r="B88" s="4" t="n">
        <v>2018</v>
      </c>
      <c r="C88" s="5" t="n">
        <v>11.099</v>
      </c>
      <c r="D88" s="5" t="n">
        <v>14.743</v>
      </c>
      <c r="E88" s="5" t="n">
        <v>0.965</v>
      </c>
      <c r="F88" s="5" t="n">
        <v>0.023</v>
      </c>
      <c r="G88" s="6" t="n">
        <v>0.027</v>
      </c>
      <c r="H88" s="6" t="n">
        <v>0.017</v>
      </c>
      <c r="I88" s="6" t="n">
        <v>0.034</v>
      </c>
      <c r="J88" s="6" t="n">
        <v>0.362</v>
      </c>
      <c r="K88" s="5" t="n">
        <v>5.103</v>
      </c>
      <c r="L88" s="6" t="n">
        <v>0.051</v>
      </c>
      <c r="M88" s="5" t="n">
        <v>0.011</v>
      </c>
      <c r="N88" s="6" t="n">
        <v>0.337</v>
      </c>
      <c r="O88" s="6" t="n">
        <v>0.892</v>
      </c>
      <c r="P88" s="6" t="n">
        <v>0.026</v>
      </c>
      <c r="Q88" s="6" t="n">
        <v>-0.031</v>
      </c>
    </row>
    <row r="89">
      <c r="A89" s="7" t="inlineStr">
        <is>
          <t>Financial Services</t>
        </is>
      </c>
      <c r="B89" s="8" t="n">
        <v>2019</v>
      </c>
      <c r="C89" s="9" t="n">
        <v>6.416</v>
      </c>
      <c r="D89" s="9" t="n">
        <v>15.068</v>
      </c>
      <c r="E89" s="9" t="n">
        <v>0.9389999999999999</v>
      </c>
      <c r="F89" s="9" t="n">
        <v>0.008</v>
      </c>
      <c r="G89" s="10" t="n">
        <v>0.012</v>
      </c>
      <c r="H89" s="10" t="n">
        <v>0.008999999999999999</v>
      </c>
      <c r="I89" s="10" t="n">
        <v>0.034</v>
      </c>
      <c r="J89" s="10" t="n">
        <v>0.143</v>
      </c>
      <c r="K89" s="9" t="n">
        <v>3.823</v>
      </c>
      <c r="L89" s="10" t="n">
        <v>0.045</v>
      </c>
      <c r="M89" s="9" t="n">
        <v>0.038</v>
      </c>
      <c r="N89" s="10" t="n">
        <v>0.262</v>
      </c>
      <c r="O89" s="10" t="n">
        <v>0.895</v>
      </c>
      <c r="P89" s="10" t="n">
        <v>-0.017</v>
      </c>
      <c r="Q89" s="10" t="n">
        <v>-0.301</v>
      </c>
    </row>
    <row r="90">
      <c r="A90" s="3" t="inlineStr">
        <is>
          <t>Financial Services</t>
        </is>
      </c>
      <c r="B90" s="4" t="n">
        <v>2020</v>
      </c>
      <c r="C90" s="5" t="n">
        <v>6.894</v>
      </c>
      <c r="D90" s="5" t="n">
        <v>1.679</v>
      </c>
      <c r="E90" s="5" t="n">
        <v>0.931</v>
      </c>
      <c r="F90" s="5" t="n">
        <v>0.584</v>
      </c>
      <c r="G90" s="6" t="n">
        <v>0.055</v>
      </c>
      <c r="H90" s="6" t="n">
        <v>0.017</v>
      </c>
      <c r="I90" s="6" t="n">
        <v>0.024</v>
      </c>
      <c r="J90" s="6" t="n">
        <v>0.118</v>
      </c>
      <c r="K90" s="5" t="n">
        <v>3.322</v>
      </c>
      <c r="L90" s="6" t="n">
        <v>0.08</v>
      </c>
      <c r="M90" s="5" t="n">
        <v>0.041</v>
      </c>
      <c r="N90" s="6" t="n">
        <v>0.36</v>
      </c>
      <c r="O90" s="6" t="n">
        <v>0.928</v>
      </c>
      <c r="P90" s="6" t="n">
        <v>-0.073</v>
      </c>
      <c r="Q90" s="6" t="n">
        <v>-0.297</v>
      </c>
    </row>
    <row r="91">
      <c r="A91" s="7" t="inlineStr">
        <is>
          <t>Financial Services</t>
        </is>
      </c>
      <c r="B91" s="8" t="n">
        <v>2021</v>
      </c>
      <c r="C91" s="9" t="n">
        <v>6.589</v>
      </c>
      <c r="D91" s="9" t="n">
        <v>3.337</v>
      </c>
      <c r="E91" s="9" t="n">
        <v>0.966</v>
      </c>
      <c r="F91" s="9" t="n">
        <v>0.014</v>
      </c>
      <c r="G91" s="10" t="n">
        <v>0.08</v>
      </c>
      <c r="H91" s="10" t="n">
        <v>0.008</v>
      </c>
      <c r="I91" s="10" t="n">
        <v>0.033</v>
      </c>
      <c r="J91" s="10" t="n">
        <v>0.223</v>
      </c>
      <c r="K91" s="9" t="n">
        <v>4.212</v>
      </c>
      <c r="L91" s="10" t="n">
        <v>0.115</v>
      </c>
      <c r="M91" s="9" t="n">
        <v>0.041</v>
      </c>
      <c r="N91" s="10" t="n">
        <v>0.586</v>
      </c>
      <c r="O91" s="10" t="n">
        <v>0.9330000000000001</v>
      </c>
      <c r="P91" s="10" t="n">
        <v>0.107</v>
      </c>
      <c r="Q91" s="10" t="n">
        <v>0.103</v>
      </c>
    </row>
    <row r="92">
      <c r="A92" s="3" t="inlineStr">
        <is>
          <t>Financial Services</t>
        </is>
      </c>
      <c r="B92" s="4" t="n">
        <v>2022</v>
      </c>
      <c r="C92" s="5" t="n">
        <v>4.379</v>
      </c>
      <c r="D92" s="5" t="n">
        <v>16.839</v>
      </c>
      <c r="E92" s="5" t="n">
        <v>0.901</v>
      </c>
      <c r="F92" s="5" t="n">
        <v>0</v>
      </c>
      <c r="G92" s="6" t="n">
        <v>0.017</v>
      </c>
      <c r="H92" s="6" t="n">
        <v>0.012</v>
      </c>
      <c r="I92" s="6" t="n">
        <v>0.042</v>
      </c>
      <c r="J92" s="6" t="n">
        <v>0</v>
      </c>
      <c r="K92" s="5" t="n">
        <v>4.282</v>
      </c>
      <c r="L92" s="6" t="n">
        <v>0.03</v>
      </c>
      <c r="M92" s="5" t="n">
        <v>0.04</v>
      </c>
      <c r="N92" s="6" t="n">
        <v>0.225</v>
      </c>
      <c r="O92" s="6" t="n">
        <v>0.872</v>
      </c>
      <c r="P92" s="6" t="n">
        <v>-0.065</v>
      </c>
      <c r="Q92" s="6" t="n">
        <v>-0.541</v>
      </c>
    </row>
    <row r="93">
      <c r="A93" s="7" t="inlineStr">
        <is>
          <t>Financial Services</t>
        </is>
      </c>
      <c r="B93" s="8" t="n">
        <v>2023</v>
      </c>
      <c r="C93" s="9" t="n">
        <v>6.738</v>
      </c>
      <c r="D93" s="9" t="n">
        <v>0.803</v>
      </c>
      <c r="E93" s="9" t="n">
        <v>0.885</v>
      </c>
      <c r="F93" s="9" t="n">
        <v>1.626</v>
      </c>
      <c r="G93" s="10" t="n">
        <v>0.025</v>
      </c>
      <c r="H93" s="10" t="n">
        <v>0.014</v>
      </c>
      <c r="I93" s="10" t="n">
        <v>0.039</v>
      </c>
      <c r="J93" s="10" t="n">
        <v>0.164</v>
      </c>
      <c r="K93" s="9" t="n">
        <v>3.314</v>
      </c>
      <c r="L93" s="10" t="n">
        <v>0.049</v>
      </c>
      <c r="M93" s="9" t="n">
        <v>0.041</v>
      </c>
      <c r="N93" s="10" t="n">
        <v>0.2</v>
      </c>
      <c r="O93" s="10" t="n">
        <v>0.907</v>
      </c>
      <c r="P93" s="10" t="n">
        <v>0.038</v>
      </c>
      <c r="Q93" s="10" t="n">
        <v>-0.405</v>
      </c>
    </row>
    <row r="94">
      <c r="A94" s="3" t="inlineStr">
        <is>
          <t>Financial Services</t>
        </is>
      </c>
      <c r="B94" s="4" t="n">
        <v>2024</v>
      </c>
      <c r="C94" s="5" t="n">
        <v>7.873</v>
      </c>
      <c r="D94" s="5" t="n">
        <v>4.601</v>
      </c>
      <c r="E94" s="5" t="n">
        <v>0.881</v>
      </c>
      <c r="F94" s="5" t="n">
        <v>0.007</v>
      </c>
      <c r="G94" s="6" t="n">
        <v>0.029</v>
      </c>
      <c r="H94" s="6" t="n">
        <v>0.013</v>
      </c>
      <c r="I94" s="6" t="n">
        <v>0.038</v>
      </c>
      <c r="J94" s="6" t="n">
        <v>0.3</v>
      </c>
      <c r="K94" s="5" t="n">
        <v>1.749</v>
      </c>
      <c r="L94" s="6" t="n">
        <v>0.061</v>
      </c>
      <c r="M94" s="5" t="n">
        <v>0.047</v>
      </c>
      <c r="N94" s="6" t="n">
        <v>0.194</v>
      </c>
      <c r="O94" s="6" t="n">
        <v>0.945</v>
      </c>
      <c r="P94" s="6" t="n">
        <v>0.026</v>
      </c>
      <c r="Q94" s="6" t="n">
        <v>-0.157</v>
      </c>
    </row>
    <row r="95">
      <c r="A95" s="7" t="inlineStr">
        <is>
          <t>Financial Services</t>
        </is>
      </c>
      <c r="B95" s="8" t="n">
        <v>2025</v>
      </c>
      <c r="C95" s="9" t="n">
        <v>8.577999999999999</v>
      </c>
      <c r="D95" s="9" t="n">
        <v>5.887</v>
      </c>
      <c r="E95" s="9" t="n">
        <v>0.9399999999999999</v>
      </c>
      <c r="F95" s="9" t="n">
        <v>0.031</v>
      </c>
      <c r="G95" s="10" t="n">
        <v>0.022</v>
      </c>
      <c r="H95" s="10" t="n">
        <v>0.001</v>
      </c>
      <c r="I95" s="10" t="n">
        <v>0.036</v>
      </c>
      <c r="J95" s="10" t="n">
        <v>0.231</v>
      </c>
      <c r="K95" s="9" t="n">
        <v>1.27</v>
      </c>
      <c r="L95" s="10" t="n">
        <v>0.079</v>
      </c>
      <c r="M95" s="9" t="n">
        <v>0.093</v>
      </c>
      <c r="N95" s="10" t="n">
        <v>0.207</v>
      </c>
      <c r="O95" s="10" t="n">
        <v>0.899</v>
      </c>
      <c r="P95" s="10" t="n">
        <v>0.054</v>
      </c>
      <c r="Q95" s="10" t="n">
        <v>-0.015</v>
      </c>
    </row>
    <row r="96">
      <c r="A96" s="3" t="inlineStr">
        <is>
          <t>Financial Services</t>
        </is>
      </c>
      <c r="B96" s="4" t="n">
        <v>2026</v>
      </c>
      <c r="C96" s="5" t="n">
        <v>6.816</v>
      </c>
      <c r="D96" s="5" t="n">
        <v>9.656000000000001</v>
      </c>
      <c r="E96" s="5" t="n">
        <v>1.194</v>
      </c>
      <c r="F96" s="5" t="n">
        <v>1.409</v>
      </c>
      <c r="G96" s="6" t="n">
        <v>0.101</v>
      </c>
      <c r="H96" s="6" t="n">
        <v>0</v>
      </c>
      <c r="I96" s="6" t="n">
        <v>0.044</v>
      </c>
      <c r="J96" s="6" t="n">
        <v>0.325</v>
      </c>
      <c r="K96" s="5" t="n">
        <v>67.66</v>
      </c>
      <c r="L96" s="6" t="n">
        <v>0.174</v>
      </c>
      <c r="M96" s="5" t="n">
        <v>1.234</v>
      </c>
      <c r="N96" s="6" t="n">
        <v>6.471</v>
      </c>
      <c r="O96" s="6" t="n">
        <v>0.974</v>
      </c>
      <c r="P96" s="6" t="n">
        <v>-0.538</v>
      </c>
      <c r="Q96" s="6" t="n">
        <v>0.056</v>
      </c>
    </row>
    <row r="97">
      <c r="A97" s="7" t="inlineStr">
        <is>
          <t>Healthcare</t>
        </is>
      </c>
      <c r="B97" s="8" t="n">
        <v>2011</v>
      </c>
      <c r="C97" s="9" t="n">
        <v>22.676</v>
      </c>
      <c r="D97" s="9" t="n">
        <v>4.488</v>
      </c>
      <c r="E97" s="9" t="n">
        <v>2.43</v>
      </c>
      <c r="F97" s="9" t="n">
        <v>0.035</v>
      </c>
      <c r="G97" s="10" t="n">
        <v>0.03</v>
      </c>
      <c r="H97" s="10" t="n">
        <v>-0.019</v>
      </c>
      <c r="I97" s="10" t="n">
        <v>0</v>
      </c>
      <c r="J97" s="10" t="n">
        <v>0</v>
      </c>
      <c r="K97" s="9" t="n">
        <v>1.938</v>
      </c>
      <c r="L97" s="10" t="n">
        <v>0.025</v>
      </c>
      <c r="M97" s="9" t="n">
        <v>0.013</v>
      </c>
      <c r="N97" s="10" t="n">
        <v>0.029</v>
      </c>
      <c r="O97" s="10" t="n">
        <v>0.616</v>
      </c>
      <c r="P97" s="10" t="n"/>
      <c r="Q97" s="10" t="n"/>
    </row>
    <row r="98">
      <c r="A98" s="3" t="inlineStr">
        <is>
          <t>Healthcare</t>
        </is>
      </c>
      <c r="B98" s="4" t="n">
        <v>2012</v>
      </c>
      <c r="C98" s="5" t="n">
        <v>24.983</v>
      </c>
      <c r="D98" s="5" t="n">
        <v>1.713</v>
      </c>
      <c r="E98" s="5" t="n">
        <v>2.48</v>
      </c>
      <c r="F98" s="5" t="n">
        <v>0.999</v>
      </c>
      <c r="G98" s="6" t="n">
        <v>0</v>
      </c>
      <c r="H98" s="6" t="n">
        <v>-0.004</v>
      </c>
      <c r="I98" s="6" t="n">
        <v>0</v>
      </c>
      <c r="J98" s="6" t="n">
        <v>0</v>
      </c>
      <c r="K98" s="5" t="n">
        <v>2.217</v>
      </c>
      <c r="L98" s="6" t="n">
        <v>0.046</v>
      </c>
      <c r="M98" s="5" t="n">
        <v>0.028</v>
      </c>
      <c r="N98" s="6" t="n">
        <v>0.02</v>
      </c>
      <c r="O98" s="6" t="n">
        <v>0.5600000000000001</v>
      </c>
      <c r="P98" s="6" t="n">
        <v>0.016</v>
      </c>
      <c r="Q98" s="6" t="n">
        <v>0.105</v>
      </c>
    </row>
    <row r="99">
      <c r="A99" s="7" t="inlineStr">
        <is>
          <t>Healthcare</t>
        </is>
      </c>
      <c r="B99" s="8" t="n">
        <v>2013</v>
      </c>
      <c r="C99" s="9" t="n">
        <v>23.718</v>
      </c>
      <c r="D99" s="9" t="n">
        <v>14.609</v>
      </c>
      <c r="E99" s="9" t="n">
        <v>3.055</v>
      </c>
      <c r="F99" s="9" t="n">
        <v>0.003</v>
      </c>
      <c r="G99" s="10" t="n">
        <v>-0.119</v>
      </c>
      <c r="H99" s="10" t="n">
        <v>-0.021</v>
      </c>
      <c r="I99" s="10" t="n">
        <v>0</v>
      </c>
      <c r="J99" s="10" t="n">
        <v>0</v>
      </c>
      <c r="K99" s="9" t="n">
        <v>2.055</v>
      </c>
      <c r="L99" s="10" t="n">
        <v>-0.045</v>
      </c>
      <c r="M99" s="9" t="n">
        <v>0</v>
      </c>
      <c r="N99" s="10" t="n">
        <v>-0.035</v>
      </c>
      <c r="O99" s="10" t="n">
        <v>0.5639999999999999</v>
      </c>
      <c r="P99" s="10" t="n">
        <v>0.035</v>
      </c>
      <c r="Q99" s="10" t="n">
        <v>-0.013</v>
      </c>
    </row>
    <row r="100">
      <c r="A100" s="3" t="inlineStr">
        <is>
          <t>Healthcare</t>
        </is>
      </c>
      <c r="B100" s="4" t="n">
        <v>2014</v>
      </c>
      <c r="C100" s="5" t="n">
        <v>27.583</v>
      </c>
      <c r="D100" s="5" t="n">
        <v>23.493</v>
      </c>
      <c r="E100" s="5" t="n">
        <v>2.79</v>
      </c>
      <c r="F100" s="5" t="n">
        <v>0</v>
      </c>
      <c r="G100" s="6" t="n">
        <v>-0.083</v>
      </c>
      <c r="H100" s="6" t="n">
        <v>-0.034</v>
      </c>
      <c r="I100" s="6" t="n">
        <v>0</v>
      </c>
      <c r="J100" s="6" t="n">
        <v>0</v>
      </c>
      <c r="K100" s="5" t="n">
        <v>2.348</v>
      </c>
      <c r="L100" s="6" t="n">
        <v>-0.059</v>
      </c>
      <c r="M100" s="5" t="n">
        <v>0</v>
      </c>
      <c r="N100" s="6" t="n">
        <v>-0.011</v>
      </c>
      <c r="O100" s="6" t="n">
        <v>0.616</v>
      </c>
      <c r="P100" s="6" t="n">
        <v>0.081</v>
      </c>
      <c r="Q100" s="6" t="n">
        <v>0.128</v>
      </c>
    </row>
    <row r="101">
      <c r="A101" s="7" t="inlineStr">
        <is>
          <t>Healthcare</t>
        </is>
      </c>
      <c r="B101" s="8" t="n">
        <v>2015</v>
      </c>
      <c r="C101" s="9" t="n">
        <v>25.647</v>
      </c>
      <c r="D101" s="9" t="n">
        <v>14.791</v>
      </c>
      <c r="E101" s="9" t="n">
        <v>3.719</v>
      </c>
      <c r="F101" s="9" t="n">
        <v>1.81</v>
      </c>
      <c r="G101" s="10" t="n">
        <v>-0.093</v>
      </c>
      <c r="H101" s="10" t="n">
        <v>0</v>
      </c>
      <c r="I101" s="10" t="n">
        <v>0</v>
      </c>
      <c r="J101" s="10" t="n">
        <v>0</v>
      </c>
      <c r="K101" s="9" t="n">
        <v>2.615</v>
      </c>
      <c r="L101" s="10" t="n">
        <v>0</v>
      </c>
      <c r="M101" s="9" t="n">
        <v>0</v>
      </c>
      <c r="N101" s="10" t="n">
        <v>-0.065</v>
      </c>
      <c r="O101" s="10" t="n">
        <v>0.581</v>
      </c>
      <c r="P101" s="10" t="n">
        <v>0.105</v>
      </c>
      <c r="Q101" s="10" t="n">
        <v>0.122</v>
      </c>
    </row>
    <row r="102">
      <c r="A102" s="3" t="inlineStr">
        <is>
          <t>Healthcare</t>
        </is>
      </c>
      <c r="B102" s="4" t="n">
        <v>2016</v>
      </c>
      <c r="C102" s="5" t="n">
        <v>39.021</v>
      </c>
      <c r="D102" s="5" t="n">
        <v>24.852</v>
      </c>
      <c r="E102" s="5" t="n">
        <v>3.67</v>
      </c>
      <c r="F102" s="5" t="n">
        <v>13.768</v>
      </c>
      <c r="G102" s="6" t="n">
        <v>0</v>
      </c>
      <c r="H102" s="6" t="n">
        <v>0</v>
      </c>
      <c r="I102" s="6" t="n">
        <v>0</v>
      </c>
      <c r="J102" s="6" t="n">
        <v>0</v>
      </c>
      <c r="K102" s="5" t="n">
        <v>2.853</v>
      </c>
      <c r="L102" s="6" t="n">
        <v>0.017</v>
      </c>
      <c r="M102" s="5" t="n">
        <v>0.005</v>
      </c>
      <c r="N102" s="6" t="n">
        <v>0.03</v>
      </c>
      <c r="O102" s="6" t="n">
        <v>0.543</v>
      </c>
      <c r="P102" s="6" t="n">
        <v>0.182</v>
      </c>
      <c r="Q102" s="6" t="n">
        <v>-0.051</v>
      </c>
    </row>
    <row r="103">
      <c r="A103" s="7" t="inlineStr">
        <is>
          <t>Healthcare</t>
        </is>
      </c>
      <c r="B103" s="8" t="n">
        <v>2017</v>
      </c>
      <c r="C103" s="9" t="n">
        <v>35.634</v>
      </c>
      <c r="D103" s="9" t="n">
        <v>23.027</v>
      </c>
      <c r="E103" s="9" t="n">
        <v>3.355</v>
      </c>
      <c r="F103" s="9" t="n">
        <v>0.027</v>
      </c>
      <c r="G103" s="10" t="n">
        <v>0</v>
      </c>
      <c r="H103" s="10" t="n">
        <v>-0.008</v>
      </c>
      <c r="I103" s="10" t="n">
        <v>0</v>
      </c>
      <c r="J103" s="10" t="n">
        <v>0</v>
      </c>
      <c r="K103" s="9" t="n">
        <v>2.34</v>
      </c>
      <c r="L103" s="10" t="n">
        <v>-0.03</v>
      </c>
      <c r="M103" s="9" t="n">
        <v>0</v>
      </c>
      <c r="N103" s="10" t="n">
        <v>-0.038</v>
      </c>
      <c r="O103" s="10" t="n">
        <v>0.5639999999999999</v>
      </c>
      <c r="P103" s="10" t="n">
        <v>0.117</v>
      </c>
      <c r="Q103" s="10" t="n">
        <v>-0.112</v>
      </c>
    </row>
    <row r="104">
      <c r="A104" s="3" t="inlineStr">
        <is>
          <t>Healthcare</t>
        </is>
      </c>
      <c r="B104" s="4" t="n">
        <v>2018</v>
      </c>
      <c r="C104" s="5" t="n">
        <v>38.724</v>
      </c>
      <c r="D104" s="5" t="n">
        <v>22.328</v>
      </c>
      <c r="E104" s="5" t="n">
        <v>3.34</v>
      </c>
      <c r="F104" s="5" t="n">
        <v>1.733</v>
      </c>
      <c r="G104" s="6" t="n">
        <v>-0.011</v>
      </c>
      <c r="H104" s="6" t="n">
        <v>-0.016</v>
      </c>
      <c r="I104" s="6" t="n">
        <v>0</v>
      </c>
      <c r="J104" s="6" t="n">
        <v>0</v>
      </c>
      <c r="K104" s="5" t="n">
        <v>2.602</v>
      </c>
      <c r="L104" s="6" t="n">
        <v>0.007</v>
      </c>
      <c r="M104" s="5" t="n">
        <v>0.016</v>
      </c>
      <c r="N104" s="6" t="n">
        <v>0</v>
      </c>
      <c r="O104" s="6" t="n">
        <v>0.613</v>
      </c>
      <c r="P104" s="6" t="n">
        <v>0.059</v>
      </c>
      <c r="Q104" s="6" t="n">
        <v>-0.047</v>
      </c>
    </row>
    <row r="105">
      <c r="A105" s="7" t="inlineStr">
        <is>
          <t>Healthcare</t>
        </is>
      </c>
      <c r="B105" s="8" t="n">
        <v>2019</v>
      </c>
      <c r="C105" s="9" t="n">
        <v>48.699</v>
      </c>
      <c r="D105" s="9" t="n">
        <v>23.166</v>
      </c>
      <c r="E105" s="9" t="n">
        <v>3.32</v>
      </c>
      <c r="F105" s="9" t="n">
        <v>0.569</v>
      </c>
      <c r="G105" s="10" t="n">
        <v>-0.152</v>
      </c>
      <c r="H105" s="10" t="n">
        <v>-0.011</v>
      </c>
      <c r="I105" s="10" t="n">
        <v>0</v>
      </c>
      <c r="J105" s="10" t="n">
        <v>0</v>
      </c>
      <c r="K105" s="9" t="n">
        <v>2.596</v>
      </c>
      <c r="L105" s="10" t="n">
        <v>0.006</v>
      </c>
      <c r="M105" s="9" t="n">
        <v>0.049</v>
      </c>
      <c r="N105" s="10" t="n">
        <v>-0.07199999999999999</v>
      </c>
      <c r="O105" s="10" t="n">
        <v>0.526</v>
      </c>
      <c r="P105" s="10" t="n">
        <v>0.06900000000000001</v>
      </c>
      <c r="Q105" s="10" t="n">
        <v>-0.095</v>
      </c>
    </row>
    <row r="106">
      <c r="A106" s="3" t="inlineStr">
        <is>
          <t>Healthcare</t>
        </is>
      </c>
      <c r="B106" s="4" t="n">
        <v>2020</v>
      </c>
      <c r="C106" s="5" t="n">
        <v>42.236</v>
      </c>
      <c r="D106" s="5" t="n">
        <v>23.44</v>
      </c>
      <c r="E106" s="5" t="n">
        <v>4.152</v>
      </c>
      <c r="F106" s="5" t="n">
        <v>0.099</v>
      </c>
      <c r="G106" s="6" t="n">
        <v>-0.039</v>
      </c>
      <c r="H106" s="6" t="n">
        <v>-0.012</v>
      </c>
      <c r="I106" s="6" t="n">
        <v>0</v>
      </c>
      <c r="J106" s="6" t="n">
        <v>0</v>
      </c>
      <c r="K106" s="5" t="n">
        <v>3.027</v>
      </c>
      <c r="L106" s="6" t="n">
        <v>-0.08699999999999999</v>
      </c>
      <c r="M106" s="5" t="n">
        <v>0.1</v>
      </c>
      <c r="N106" s="6" t="n">
        <v>-0.068</v>
      </c>
      <c r="O106" s="6" t="n">
        <v>0.576</v>
      </c>
      <c r="P106" s="6" t="n">
        <v>0.167</v>
      </c>
      <c r="Q106" s="6" t="n">
        <v>0.257</v>
      </c>
    </row>
    <row r="107">
      <c r="A107" s="7" t="inlineStr">
        <is>
          <t>Healthcare</t>
        </is>
      </c>
      <c r="B107" s="8" t="n">
        <v>2021</v>
      </c>
      <c r="C107" s="9" t="n">
        <v>41.927</v>
      </c>
      <c r="D107" s="9" t="n">
        <v>9.326000000000001</v>
      </c>
      <c r="E107" s="9" t="n">
        <v>3.322</v>
      </c>
      <c r="F107" s="9" t="n">
        <v>3.15</v>
      </c>
      <c r="G107" s="10" t="n">
        <v>-0.026</v>
      </c>
      <c r="H107" s="10" t="n">
        <v>-0.022</v>
      </c>
      <c r="I107" s="10" t="n">
        <v>0</v>
      </c>
      <c r="J107" s="10" t="n">
        <v>0</v>
      </c>
      <c r="K107" s="9" t="n">
        <v>3.506</v>
      </c>
      <c r="L107" s="10" t="n">
        <v>-0.027</v>
      </c>
      <c r="M107" s="9" t="n">
        <v>0.041</v>
      </c>
      <c r="N107" s="10" t="n">
        <v>-0.002</v>
      </c>
      <c r="O107" s="10" t="n">
        <v>0.5659999999999999</v>
      </c>
      <c r="P107" s="10" t="n">
        <v>0.094</v>
      </c>
      <c r="Q107" s="10" t="n">
        <v>0.132</v>
      </c>
    </row>
    <row r="108">
      <c r="A108" s="3" t="inlineStr">
        <is>
          <t>Healthcare</t>
        </is>
      </c>
      <c r="B108" s="4" t="n">
        <v>2022</v>
      </c>
      <c r="C108" s="5" t="n">
        <v>58.016</v>
      </c>
      <c r="D108" s="5" t="n">
        <v>15.157</v>
      </c>
      <c r="E108" s="5" t="n">
        <v>2.362</v>
      </c>
      <c r="F108" s="5" t="n">
        <v>0.823</v>
      </c>
      <c r="G108" s="6" t="n">
        <v>-0.014</v>
      </c>
      <c r="H108" s="6" t="n">
        <v>-0.03</v>
      </c>
      <c r="I108" s="6" t="n">
        <v>0</v>
      </c>
      <c r="J108" s="6" t="n">
        <v>0</v>
      </c>
      <c r="K108" s="5" t="n">
        <v>2.338</v>
      </c>
      <c r="L108" s="6" t="n">
        <v>-0.068</v>
      </c>
      <c r="M108" s="5" t="n">
        <v>0.145</v>
      </c>
      <c r="N108" s="6" t="n">
        <v>0.007</v>
      </c>
      <c r="O108" s="6" t="n">
        <v>0.552</v>
      </c>
      <c r="P108" s="6" t="n">
        <v>0.097</v>
      </c>
      <c r="Q108" s="6" t="n">
        <v>-0.203</v>
      </c>
    </row>
    <row r="109">
      <c r="A109" s="7" t="inlineStr">
        <is>
          <t>Healthcare</t>
        </is>
      </c>
      <c r="B109" s="8" t="n">
        <v>2023</v>
      </c>
      <c r="C109" s="9" t="n">
        <v>45.107</v>
      </c>
      <c r="D109" s="9" t="n">
        <v>16.665</v>
      </c>
      <c r="E109" s="9" t="n">
        <v>2.304</v>
      </c>
      <c r="F109" s="9" t="n">
        <v>0.033</v>
      </c>
      <c r="G109" s="10" t="n">
        <v>-0.136</v>
      </c>
      <c r="H109" s="10" t="n">
        <v>-0.051</v>
      </c>
      <c r="I109" s="10" t="n">
        <v>0</v>
      </c>
      <c r="J109" s="10" t="n">
        <v>0</v>
      </c>
      <c r="K109" s="9" t="n">
        <v>2.324</v>
      </c>
      <c r="L109" s="10" t="n">
        <v>-0.049</v>
      </c>
      <c r="M109" s="9" t="n">
        <v>0.065</v>
      </c>
      <c r="N109" s="10" t="n">
        <v>-0.066</v>
      </c>
      <c r="O109" s="10" t="n">
        <v>0.541</v>
      </c>
      <c r="P109" s="10" t="n">
        <v>0.059</v>
      </c>
      <c r="Q109" s="10" t="n">
        <v>-0.177</v>
      </c>
    </row>
    <row r="110">
      <c r="A110" s="3" t="inlineStr">
        <is>
          <t>Healthcare</t>
        </is>
      </c>
      <c r="B110" s="4" t="n">
        <v>2024</v>
      </c>
      <c r="C110" s="5" t="n">
        <v>36.622</v>
      </c>
      <c r="D110" s="5" t="n">
        <v>12.109</v>
      </c>
      <c r="E110" s="5" t="n">
        <v>2.231</v>
      </c>
      <c r="F110" s="5" t="n">
        <v>0.038</v>
      </c>
      <c r="G110" s="6" t="n">
        <v>-0.116</v>
      </c>
      <c r="H110" s="6" t="n">
        <v>-0.06</v>
      </c>
      <c r="I110" s="6" t="n">
        <v>0</v>
      </c>
      <c r="J110" s="6" t="n">
        <v>0</v>
      </c>
      <c r="K110" s="5" t="n">
        <v>2.24</v>
      </c>
      <c r="L110" s="6" t="n">
        <v>0.005</v>
      </c>
      <c r="M110" s="5" t="n">
        <v>0.122</v>
      </c>
      <c r="N110" s="6" t="n">
        <v>-0.018</v>
      </c>
      <c r="O110" s="6" t="n">
        <v>0.55</v>
      </c>
      <c r="P110" s="6" t="n">
        <v>0.08400000000000001</v>
      </c>
      <c r="Q110" s="6" t="n">
        <v>-0.063</v>
      </c>
    </row>
    <row r="111">
      <c r="A111" s="7" t="inlineStr">
        <is>
          <t>Healthcare</t>
        </is>
      </c>
      <c r="B111" s="8" t="n">
        <v>2025</v>
      </c>
      <c r="C111" s="9" t="n">
        <v>32.911</v>
      </c>
      <c r="D111" s="9" t="n">
        <v>13.245</v>
      </c>
      <c r="E111" s="9" t="n">
        <v>2.045</v>
      </c>
      <c r="F111" s="9" t="n">
        <v>0.105</v>
      </c>
      <c r="G111" s="10" t="n">
        <v>-0.006</v>
      </c>
      <c r="H111" s="10" t="n">
        <v>-0.015</v>
      </c>
      <c r="I111" s="10" t="n">
        <v>0</v>
      </c>
      <c r="J111" s="10" t="n">
        <v>0</v>
      </c>
      <c r="K111" s="9" t="n">
        <v>1.631</v>
      </c>
      <c r="L111" s="10" t="n">
        <v>0.047</v>
      </c>
      <c r="M111" s="9" t="n">
        <v>0.094</v>
      </c>
      <c r="N111" s="10" t="n">
        <v>0.01</v>
      </c>
      <c r="O111" s="10" t="n">
        <v>0.475</v>
      </c>
      <c r="P111" s="10" t="n">
        <v>0.08799999999999999</v>
      </c>
      <c r="Q111" s="10" t="n">
        <v>-0.062</v>
      </c>
    </row>
    <row r="112">
      <c r="A112" s="3" t="inlineStr">
        <is>
          <t>Industrials</t>
        </is>
      </c>
      <c r="B112" s="4" t="n">
        <v>2011</v>
      </c>
      <c r="C112" s="5" t="n">
        <v>10.836</v>
      </c>
      <c r="D112" s="5" t="n">
        <v>6.32</v>
      </c>
      <c r="E112" s="5" t="n">
        <v>1.587</v>
      </c>
      <c r="F112" s="5" t="n">
        <v>0.141</v>
      </c>
      <c r="G112" s="6" t="n">
        <v>0.08400000000000001</v>
      </c>
      <c r="H112" s="6" t="n">
        <v>0.034</v>
      </c>
      <c r="I112" s="6" t="n">
        <v>0.024</v>
      </c>
      <c r="J112" s="6" t="n">
        <v>0.272</v>
      </c>
      <c r="K112" s="5" t="n">
        <v>1.508</v>
      </c>
      <c r="L112" s="6" t="n">
        <v>0.137</v>
      </c>
      <c r="M112" s="5" t="n">
        <v>0.281</v>
      </c>
      <c r="N112" s="6" t="n">
        <v>0.04</v>
      </c>
      <c r="O112" s="6" t="n">
        <v>0.337</v>
      </c>
      <c r="P112" s="6" t="n"/>
      <c r="Q112" s="6" t="n"/>
    </row>
    <row r="113">
      <c r="A113" s="7" t="inlineStr">
        <is>
          <t>Industrials</t>
        </is>
      </c>
      <c r="B113" s="8" t="n">
        <v>2012</v>
      </c>
      <c r="C113" s="9" t="n">
        <v>11.864</v>
      </c>
      <c r="D113" s="9" t="n">
        <v>7.093</v>
      </c>
      <c r="E113" s="9" t="n">
        <v>1.741</v>
      </c>
      <c r="F113" s="9" t="n">
        <v>0.001</v>
      </c>
      <c r="G113" s="10" t="n">
        <v>0.09</v>
      </c>
      <c r="H113" s="10" t="n">
        <v>0.047</v>
      </c>
      <c r="I113" s="10" t="n">
        <v>0.022</v>
      </c>
      <c r="J113" s="10" t="n">
        <v>0.266</v>
      </c>
      <c r="K113" s="9" t="n">
        <v>1.563</v>
      </c>
      <c r="L113" s="10" t="n">
        <v>0.129</v>
      </c>
      <c r="M113" s="9" t="n">
        <v>0.242</v>
      </c>
      <c r="N113" s="10" t="n">
        <v>0.036</v>
      </c>
      <c r="O113" s="10" t="n">
        <v>0.373</v>
      </c>
      <c r="P113" s="10" t="n">
        <v>0.031</v>
      </c>
      <c r="Q113" s="10" t="n">
        <v>-0.003</v>
      </c>
    </row>
    <row r="114">
      <c r="A114" s="3" t="inlineStr">
        <is>
          <t>Industrials</t>
        </is>
      </c>
      <c r="B114" s="4" t="n">
        <v>2013</v>
      </c>
      <c r="C114" s="5" t="n">
        <v>15.933</v>
      </c>
      <c r="D114" s="5" t="n">
        <v>9.037000000000001</v>
      </c>
      <c r="E114" s="5" t="n">
        <v>2.095</v>
      </c>
      <c r="F114" s="5" t="n">
        <v>0.042</v>
      </c>
      <c r="G114" s="6" t="n">
        <v>0.092</v>
      </c>
      <c r="H114" s="6" t="n">
        <v>0.043</v>
      </c>
      <c r="I114" s="6" t="n">
        <v>0.018</v>
      </c>
      <c r="J114" s="6" t="n">
        <v>0.291</v>
      </c>
      <c r="K114" s="5" t="n">
        <v>1.541</v>
      </c>
      <c r="L114" s="6" t="n">
        <v>0.115</v>
      </c>
      <c r="M114" s="5" t="n">
        <v>0.202</v>
      </c>
      <c r="N114" s="6" t="n">
        <v>0.043</v>
      </c>
      <c r="O114" s="6" t="n">
        <v>0.342</v>
      </c>
      <c r="P114" s="6" t="n">
        <v>0.047</v>
      </c>
      <c r="Q114" s="6" t="n">
        <v>0.032</v>
      </c>
    </row>
    <row r="115">
      <c r="A115" s="7" t="inlineStr">
        <is>
          <t>Industrials</t>
        </is>
      </c>
      <c r="B115" s="8" t="n">
        <v>2014</v>
      </c>
      <c r="C115" s="9" t="n">
        <v>14.847</v>
      </c>
      <c r="D115" s="9" t="n">
        <v>8.880000000000001</v>
      </c>
      <c r="E115" s="9" t="n">
        <v>2.281</v>
      </c>
      <c r="F115" s="9" t="n">
        <v>0.019</v>
      </c>
      <c r="G115" s="10" t="n">
        <v>0.091</v>
      </c>
      <c r="H115" s="10" t="n">
        <v>0.044</v>
      </c>
      <c r="I115" s="10" t="n">
        <v>0.019</v>
      </c>
      <c r="J115" s="10" t="n">
        <v>0.307</v>
      </c>
      <c r="K115" s="9" t="n">
        <v>1.477</v>
      </c>
      <c r="L115" s="10" t="n">
        <v>0.121</v>
      </c>
      <c r="M115" s="9" t="n">
        <v>0.277</v>
      </c>
      <c r="N115" s="10" t="n">
        <v>0.041</v>
      </c>
      <c r="O115" s="10" t="n">
        <v>0.33</v>
      </c>
      <c r="P115" s="10" t="n">
        <v>0.045</v>
      </c>
      <c r="Q115" s="10" t="n">
        <v>0.093</v>
      </c>
    </row>
    <row r="116">
      <c r="A116" s="3" t="inlineStr">
        <is>
          <t>Industrials</t>
        </is>
      </c>
      <c r="B116" s="4" t="n">
        <v>2015</v>
      </c>
      <c r="C116" s="5" t="n">
        <v>15.194</v>
      </c>
      <c r="D116" s="5" t="n">
        <v>8.545</v>
      </c>
      <c r="E116" s="5" t="n">
        <v>2.191</v>
      </c>
      <c r="F116" s="5" t="n">
        <v>0.07000000000000001</v>
      </c>
      <c r="G116" s="6" t="n">
        <v>0.08599999999999999</v>
      </c>
      <c r="H116" s="6" t="n">
        <v>0.041</v>
      </c>
      <c r="I116" s="6" t="n">
        <v>0.021</v>
      </c>
      <c r="J116" s="6" t="n">
        <v>0.298</v>
      </c>
      <c r="K116" s="5" t="n">
        <v>1.52</v>
      </c>
      <c r="L116" s="6" t="n">
        <v>0.111</v>
      </c>
      <c r="M116" s="5" t="n">
        <v>0.308</v>
      </c>
      <c r="N116" s="6" t="n">
        <v>0.055</v>
      </c>
      <c r="O116" s="6" t="n">
        <v>0.324</v>
      </c>
      <c r="P116" s="6" t="n">
        <v>0.035</v>
      </c>
      <c r="Q116" s="6" t="n">
        <v>0.057</v>
      </c>
    </row>
    <row r="117">
      <c r="A117" s="7" t="inlineStr">
        <is>
          <t>Industrials</t>
        </is>
      </c>
      <c r="B117" s="8" t="n">
        <v>2016</v>
      </c>
      <c r="C117" s="9" t="n">
        <v>15.399</v>
      </c>
      <c r="D117" s="9" t="n">
        <v>8.757999999999999</v>
      </c>
      <c r="E117" s="9" t="n">
        <v>2.325</v>
      </c>
      <c r="F117" s="9" t="n">
        <v>0.14</v>
      </c>
      <c r="G117" s="10" t="n">
        <v>0.08799999999999999</v>
      </c>
      <c r="H117" s="10" t="n">
        <v>0.044</v>
      </c>
      <c r="I117" s="10" t="n">
        <v>0.021</v>
      </c>
      <c r="J117" s="10" t="n">
        <v>0.331</v>
      </c>
      <c r="K117" s="9" t="n">
        <v>1.537</v>
      </c>
      <c r="L117" s="10" t="n">
        <v>0.114</v>
      </c>
      <c r="M117" s="9" t="n">
        <v>0.355</v>
      </c>
      <c r="N117" s="10" t="n">
        <v>0.045</v>
      </c>
      <c r="O117" s="10" t="n">
        <v>0.328</v>
      </c>
      <c r="P117" s="10" t="n">
        <v>0.096</v>
      </c>
      <c r="Q117" s="10" t="n">
        <v>0.055</v>
      </c>
    </row>
    <row r="118">
      <c r="A118" s="3" t="inlineStr">
        <is>
          <t>Industrials</t>
        </is>
      </c>
      <c r="B118" s="4" t="n">
        <v>2017</v>
      </c>
      <c r="C118" s="5" t="n">
        <v>14.013</v>
      </c>
      <c r="D118" s="5" t="n">
        <v>8.629</v>
      </c>
      <c r="E118" s="5" t="n">
        <v>2.365</v>
      </c>
      <c r="F118" s="5" t="n">
        <v>0.147</v>
      </c>
      <c r="G118" s="6" t="n">
        <v>0.095</v>
      </c>
      <c r="H118" s="6" t="n">
        <v>0.039</v>
      </c>
      <c r="I118" s="6" t="n">
        <v>0.018</v>
      </c>
      <c r="J118" s="6" t="n">
        <v>0.315</v>
      </c>
      <c r="K118" s="5" t="n">
        <v>1.493</v>
      </c>
      <c r="L118" s="6" t="n">
        <v>0.116</v>
      </c>
      <c r="M118" s="5" t="n">
        <v>0.312</v>
      </c>
      <c r="N118" s="6" t="n">
        <v>0.052</v>
      </c>
      <c r="O118" s="6" t="n">
        <v>0.328</v>
      </c>
      <c r="P118" s="6" t="n">
        <v>0.09</v>
      </c>
      <c r="Q118" s="6" t="n">
        <v>0.136</v>
      </c>
    </row>
    <row r="119">
      <c r="A119" s="7" t="inlineStr">
        <is>
          <t>Industrials</t>
        </is>
      </c>
      <c r="B119" s="8" t="n">
        <v>2018</v>
      </c>
      <c r="C119" s="9" t="n">
        <v>13.396</v>
      </c>
      <c r="D119" s="9" t="n">
        <v>8.029</v>
      </c>
      <c r="E119" s="9" t="n">
        <v>1.878</v>
      </c>
      <c r="F119" s="9" t="n">
        <v>0.042</v>
      </c>
      <c r="G119" s="10" t="n">
        <v>0.09</v>
      </c>
      <c r="H119" s="10" t="n">
        <v>0.04</v>
      </c>
      <c r="I119" s="10" t="n">
        <v>0.023</v>
      </c>
      <c r="J119" s="10" t="n">
        <v>0.331</v>
      </c>
      <c r="K119" s="9" t="n">
        <v>1.483</v>
      </c>
      <c r="L119" s="10" t="n">
        <v>0.106</v>
      </c>
      <c r="M119" s="9" t="n">
        <v>0.31</v>
      </c>
      <c r="N119" s="10" t="n">
        <v>0.052</v>
      </c>
      <c r="O119" s="10" t="n">
        <v>0.317</v>
      </c>
      <c r="P119" s="10" t="n">
        <v>0.07099999999999999</v>
      </c>
      <c r="Q119" s="10" t="n">
        <v>0.033</v>
      </c>
    </row>
    <row r="120">
      <c r="A120" s="3" t="inlineStr">
        <is>
          <t>Industrials</t>
        </is>
      </c>
      <c r="B120" s="4" t="n">
        <v>2019</v>
      </c>
      <c r="C120" s="5" t="n">
        <v>13.355</v>
      </c>
      <c r="D120" s="5" t="n">
        <v>7.942</v>
      </c>
      <c r="E120" s="5" t="n">
        <v>1.99</v>
      </c>
      <c r="F120" s="5" t="n">
        <v>0.012</v>
      </c>
      <c r="G120" s="6" t="n">
        <v>0.066</v>
      </c>
      <c r="H120" s="6" t="n">
        <v>0.046</v>
      </c>
      <c r="I120" s="6" t="n">
        <v>0.025</v>
      </c>
      <c r="J120" s="6" t="n">
        <v>0.343</v>
      </c>
      <c r="K120" s="5" t="n">
        <v>1.474</v>
      </c>
      <c r="L120" s="6" t="n">
        <v>0.094</v>
      </c>
      <c r="M120" s="5" t="n">
        <v>0.401</v>
      </c>
      <c r="N120" s="6" t="n">
        <v>0.037</v>
      </c>
      <c r="O120" s="6" t="n">
        <v>0.293</v>
      </c>
      <c r="P120" s="6" t="n">
        <v>0.05</v>
      </c>
      <c r="Q120" s="6" t="n">
        <v>-0.125</v>
      </c>
    </row>
    <row r="121">
      <c r="A121" s="7" t="inlineStr">
        <is>
          <t>Industrials</t>
        </is>
      </c>
      <c r="B121" s="8" t="n">
        <v>2020</v>
      </c>
      <c r="C121" s="9" t="n">
        <v>14.628</v>
      </c>
      <c r="D121" s="9" t="n">
        <v>9.23</v>
      </c>
      <c r="E121" s="9" t="n">
        <v>1.943</v>
      </c>
      <c r="F121" s="9" t="n">
        <v>1.181</v>
      </c>
      <c r="G121" s="10" t="n">
        <v>0.048</v>
      </c>
      <c r="H121" s="10" t="n">
        <v>0.062</v>
      </c>
      <c r="I121" s="10" t="n">
        <v>0.008</v>
      </c>
      <c r="J121" s="10" t="n">
        <v>0</v>
      </c>
      <c r="K121" s="9" t="n">
        <v>1.562</v>
      </c>
      <c r="L121" s="10" t="n">
        <v>0.047</v>
      </c>
      <c r="M121" s="9" t="n">
        <v>0.377</v>
      </c>
      <c r="N121" s="10" t="n">
        <v>0.02</v>
      </c>
      <c r="O121" s="10" t="n">
        <v>0.286</v>
      </c>
      <c r="P121" s="10" t="n">
        <v>-0.057</v>
      </c>
      <c r="Q121" s="10" t="n">
        <v>-0.395</v>
      </c>
    </row>
    <row r="122">
      <c r="A122" s="3" t="inlineStr">
        <is>
          <t>Industrials</t>
        </is>
      </c>
      <c r="B122" s="4" t="n">
        <v>2021</v>
      </c>
      <c r="C122" s="5" t="n">
        <v>16.387</v>
      </c>
      <c r="D122" s="5" t="n">
        <v>9.577</v>
      </c>
      <c r="E122" s="5" t="n">
        <v>2.291</v>
      </c>
      <c r="F122" s="5" t="n">
        <v>0.08699999999999999</v>
      </c>
      <c r="G122" s="6" t="n">
        <v>0.062</v>
      </c>
      <c r="H122" s="6" t="n">
        <v>0.031</v>
      </c>
      <c r="I122" s="6" t="n">
        <v>0.01</v>
      </c>
      <c r="J122" s="6" t="n">
        <v>0.174</v>
      </c>
      <c r="K122" s="5" t="n">
        <v>1.554</v>
      </c>
      <c r="L122" s="6" t="n">
        <v>0.097</v>
      </c>
      <c r="M122" s="5" t="n">
        <v>0.346</v>
      </c>
      <c r="N122" s="6" t="n">
        <v>0.046</v>
      </c>
      <c r="O122" s="6" t="n">
        <v>0.306</v>
      </c>
      <c r="P122" s="6" t="n">
        <v>0.11</v>
      </c>
      <c r="Q122" s="6" t="n">
        <v>0.039</v>
      </c>
    </row>
    <row r="123">
      <c r="A123" s="7" t="inlineStr">
        <is>
          <t>Industrials</t>
        </is>
      </c>
      <c r="B123" s="8" t="n">
        <v>2022</v>
      </c>
      <c r="C123" s="9" t="n">
        <v>11.766</v>
      </c>
      <c r="D123" s="9" t="n">
        <v>6.204</v>
      </c>
      <c r="E123" s="9" t="n">
        <v>1.737</v>
      </c>
      <c r="F123" s="9" t="n">
        <v>0.014</v>
      </c>
      <c r="G123" s="10" t="n">
        <v>0.079</v>
      </c>
      <c r="H123" s="10" t="n">
        <v>0.051</v>
      </c>
      <c r="I123" s="10" t="n">
        <v>0.019</v>
      </c>
      <c r="J123" s="10" t="n">
        <v>0.26</v>
      </c>
      <c r="K123" s="9" t="n">
        <v>1.563</v>
      </c>
      <c r="L123" s="10" t="n">
        <v>0.102</v>
      </c>
      <c r="M123" s="9" t="n">
        <v>0.365</v>
      </c>
      <c r="N123" s="10" t="n">
        <v>0.052</v>
      </c>
      <c r="O123" s="10" t="n">
        <v>0.31</v>
      </c>
      <c r="P123" s="10" t="n">
        <v>0.134</v>
      </c>
      <c r="Q123" s="10" t="n">
        <v>0.065</v>
      </c>
    </row>
    <row r="124">
      <c r="A124" s="3" t="inlineStr">
        <is>
          <t>Industrials</t>
        </is>
      </c>
      <c r="B124" s="4" t="n">
        <v>2023</v>
      </c>
      <c r="C124" s="5" t="n">
        <v>11.091</v>
      </c>
      <c r="D124" s="5" t="n">
        <v>6.248</v>
      </c>
      <c r="E124" s="5" t="n">
        <v>1.716</v>
      </c>
      <c r="F124" s="5" t="n">
        <v>0.022</v>
      </c>
      <c r="G124" s="6" t="n">
        <v>0.063</v>
      </c>
      <c r="H124" s="6" t="n">
        <v>0.07000000000000001</v>
      </c>
      <c r="I124" s="6" t="n">
        <v>0.019</v>
      </c>
      <c r="J124" s="6" t="n">
        <v>0.292</v>
      </c>
      <c r="K124" s="5" t="n">
        <v>1.595</v>
      </c>
      <c r="L124" s="6" t="n">
        <v>0.089</v>
      </c>
      <c r="M124" s="5" t="n">
        <v>0.374</v>
      </c>
      <c r="N124" s="6" t="n">
        <v>0.037</v>
      </c>
      <c r="O124" s="6" t="n">
        <v>0.322</v>
      </c>
      <c r="P124" s="6" t="n">
        <v>0.073</v>
      </c>
      <c r="Q124" s="6" t="n">
        <v>0.022</v>
      </c>
    </row>
    <row r="125">
      <c r="A125" s="7" t="inlineStr">
        <is>
          <t>Industrials</t>
        </is>
      </c>
      <c r="B125" s="8" t="n">
        <v>2024</v>
      </c>
      <c r="C125" s="9" t="n">
        <v>13.859</v>
      </c>
      <c r="D125" s="9" t="n">
        <v>6.683</v>
      </c>
      <c r="E125" s="9" t="n">
        <v>1.778</v>
      </c>
      <c r="F125" s="9" t="n">
        <v>0.025</v>
      </c>
      <c r="G125" s="10" t="n">
        <v>0.057</v>
      </c>
      <c r="H125" s="10" t="n">
        <v>0.061</v>
      </c>
      <c r="I125" s="10" t="n">
        <v>0.023</v>
      </c>
      <c r="J125" s="10" t="n">
        <v>0.328</v>
      </c>
      <c r="K125" s="9" t="n">
        <v>1.504</v>
      </c>
      <c r="L125" s="10" t="n">
        <v>0.076</v>
      </c>
      <c r="M125" s="9" t="n">
        <v>0.408</v>
      </c>
      <c r="N125" s="10" t="n">
        <v>0.042</v>
      </c>
      <c r="O125" s="10" t="n">
        <v>0.321</v>
      </c>
      <c r="P125" s="10" t="n">
        <v>0.025</v>
      </c>
      <c r="Q125" s="10" t="n">
        <v>-0.061</v>
      </c>
    </row>
    <row r="126">
      <c r="A126" s="3" t="inlineStr">
        <is>
          <t>Industrials</t>
        </is>
      </c>
      <c r="B126" s="4" t="n">
        <v>2025</v>
      </c>
      <c r="C126" s="5" t="n">
        <v>12.58</v>
      </c>
      <c r="D126" s="5" t="n">
        <v>7.845</v>
      </c>
      <c r="E126" s="5" t="n">
        <v>2.013</v>
      </c>
      <c r="F126" s="5" t="n">
        <v>0.125</v>
      </c>
      <c r="G126" s="6" t="n">
        <v>0.077</v>
      </c>
      <c r="H126" s="6" t="n">
        <v>0.06</v>
      </c>
      <c r="I126" s="6" t="n">
        <v>0.019</v>
      </c>
      <c r="J126" s="6" t="n">
        <v>0.259</v>
      </c>
      <c r="K126" s="5" t="n">
        <v>1.51</v>
      </c>
      <c r="L126" s="6" t="n">
        <v>0.109</v>
      </c>
      <c r="M126" s="5" t="n">
        <v>0.46</v>
      </c>
      <c r="N126" s="6" t="n">
        <v>0.045</v>
      </c>
      <c r="O126" s="6" t="n">
        <v>0.297</v>
      </c>
      <c r="P126" s="6" t="n">
        <v>0.027</v>
      </c>
      <c r="Q126" s="6" t="n">
        <v>0.075</v>
      </c>
    </row>
    <row r="127">
      <c r="A127" s="7" t="inlineStr">
        <is>
          <t>Industrials</t>
        </is>
      </c>
      <c r="B127" s="8" t="n">
        <v>2026</v>
      </c>
      <c r="C127" s="9" t="n">
        <v>22.611</v>
      </c>
      <c r="D127" s="9" t="n">
        <v>9.101000000000001</v>
      </c>
      <c r="E127" s="9" t="n">
        <v>1.854</v>
      </c>
      <c r="F127" s="9" t="n">
        <v>1.725</v>
      </c>
      <c r="G127" s="10" t="n">
        <v>0.08699999999999999</v>
      </c>
      <c r="H127" s="10" t="n">
        <v>0.093</v>
      </c>
      <c r="I127" s="10" t="n">
        <v>0.023</v>
      </c>
      <c r="J127" s="10" t="n">
        <v>0.654</v>
      </c>
      <c r="K127" s="9" t="n">
        <v>1.663</v>
      </c>
      <c r="L127" s="10" t="n">
        <v>0.115</v>
      </c>
      <c r="M127" s="9" t="n">
        <v>0.416</v>
      </c>
      <c r="N127" s="10" t="n">
        <v>0.056</v>
      </c>
      <c r="O127" s="10" t="n">
        <v>0.102</v>
      </c>
      <c r="P127" s="10" t="n">
        <v>-0.008</v>
      </c>
      <c r="Q127" s="10" t="n">
        <v>-0.627</v>
      </c>
    </row>
    <row r="128">
      <c r="A128" s="3" t="inlineStr">
        <is>
          <t>Real Estate</t>
        </is>
      </c>
      <c r="B128" s="4" t="n">
        <v>2011</v>
      </c>
      <c r="C128" s="5" t="n">
        <v>11.198</v>
      </c>
      <c r="D128" s="5" t="n">
        <v>9.300000000000001</v>
      </c>
      <c r="E128" s="5" t="n">
        <v>0.771</v>
      </c>
      <c r="F128" s="5" t="n">
        <v>1.877</v>
      </c>
      <c r="G128" s="6" t="n">
        <v>0.043</v>
      </c>
      <c r="H128" s="6" t="n">
        <v>0.041</v>
      </c>
      <c r="I128" s="6" t="n">
        <v>0.022</v>
      </c>
      <c r="J128" s="6" t="n">
        <v>0.23</v>
      </c>
      <c r="K128" s="5" t="n">
        <v>1.713</v>
      </c>
      <c r="L128" s="6" t="n">
        <v>0.048</v>
      </c>
      <c r="M128" s="5" t="n">
        <v>0.915</v>
      </c>
      <c r="N128" s="6" t="n">
        <v>0.137</v>
      </c>
      <c r="O128" s="6" t="n">
        <v>0.8129999999999999</v>
      </c>
      <c r="P128" s="6" t="n"/>
      <c r="Q128" s="6" t="n"/>
    </row>
    <row r="129">
      <c r="A129" s="7" t="inlineStr">
        <is>
          <t>Real Estate</t>
        </is>
      </c>
      <c r="B129" s="8" t="n">
        <v>2012</v>
      </c>
      <c r="C129" s="9" t="n">
        <v>9.023</v>
      </c>
      <c r="D129" s="9" t="n">
        <v>9.755000000000001</v>
      </c>
      <c r="E129" s="9" t="n">
        <v>0.974</v>
      </c>
      <c r="F129" s="9" t="n">
        <v>1.051</v>
      </c>
      <c r="G129" s="10" t="n">
        <v>0.038</v>
      </c>
      <c r="H129" s="10" t="n">
        <v>0.025</v>
      </c>
      <c r="I129" s="10" t="n">
        <v>0.031</v>
      </c>
      <c r="J129" s="10" t="n">
        <v>0.29</v>
      </c>
      <c r="K129" s="9" t="n">
        <v>1.299</v>
      </c>
      <c r="L129" s="10" t="n">
        <v>0.036</v>
      </c>
      <c r="M129" s="9" t="n">
        <v>0.54</v>
      </c>
      <c r="N129" s="10" t="n">
        <v>0.159</v>
      </c>
      <c r="O129" s="10" t="n">
        <v>0.827</v>
      </c>
      <c r="P129" s="10" t="n">
        <v>0.061</v>
      </c>
      <c r="Q129" s="10" t="n">
        <v>-0.165</v>
      </c>
    </row>
    <row r="130">
      <c r="A130" s="3" t="inlineStr">
        <is>
          <t>Real Estate</t>
        </is>
      </c>
      <c r="B130" s="4" t="n">
        <v>2013</v>
      </c>
      <c r="C130" s="5" t="n">
        <v>9.390000000000001</v>
      </c>
      <c r="D130" s="5" t="n">
        <v>11.71</v>
      </c>
      <c r="E130" s="5" t="n">
        <v>0.9370000000000001</v>
      </c>
      <c r="F130" s="5" t="n">
        <v>0.002</v>
      </c>
      <c r="G130" s="6" t="n">
        <v>0.047</v>
      </c>
      <c r="H130" s="6" t="n">
        <v>0.03</v>
      </c>
      <c r="I130" s="6" t="n">
        <v>0.023</v>
      </c>
      <c r="J130" s="6" t="n">
        <v>0.187</v>
      </c>
      <c r="K130" s="5" t="n">
        <v>1.735</v>
      </c>
      <c r="L130" s="6" t="n">
        <v>0.1</v>
      </c>
      <c r="M130" s="5" t="n">
        <v>0.462</v>
      </c>
      <c r="N130" s="6" t="n">
        <v>0.5620000000000001</v>
      </c>
      <c r="O130" s="6" t="n">
        <v>0.8129999999999999</v>
      </c>
      <c r="P130" s="6" t="n">
        <v>0.12</v>
      </c>
      <c r="Q130" s="6" t="n">
        <v>0.187</v>
      </c>
    </row>
    <row r="131">
      <c r="A131" s="7" t="inlineStr">
        <is>
          <t>Real Estate</t>
        </is>
      </c>
      <c r="B131" s="8" t="n">
        <v>2014</v>
      </c>
      <c r="C131" s="9" t="n">
        <v>9.231</v>
      </c>
      <c r="D131" s="9" t="n">
        <v>12.829</v>
      </c>
      <c r="E131" s="9" t="n">
        <v>0.989</v>
      </c>
      <c r="F131" s="9" t="n">
        <v>0.026</v>
      </c>
      <c r="G131" s="10" t="n">
        <v>0.08400000000000001</v>
      </c>
      <c r="H131" s="10" t="n">
        <v>0.035</v>
      </c>
      <c r="I131" s="10" t="n">
        <v>0.025</v>
      </c>
      <c r="J131" s="10" t="n">
        <v>0.203</v>
      </c>
      <c r="K131" s="9" t="n">
        <v>1.574</v>
      </c>
      <c r="L131" s="10" t="n">
        <v>0.132</v>
      </c>
      <c r="M131" s="9" t="n">
        <v>0.412</v>
      </c>
      <c r="N131" s="10" t="n">
        <v>0.867</v>
      </c>
      <c r="O131" s="10" t="n">
        <v>0.856</v>
      </c>
      <c r="P131" s="10" t="n">
        <v>0.094</v>
      </c>
      <c r="Q131" s="10" t="n">
        <v>0.868</v>
      </c>
    </row>
    <row r="132">
      <c r="A132" s="3" t="inlineStr">
        <is>
          <t>Real Estate</t>
        </is>
      </c>
      <c r="B132" s="4" t="n">
        <v>2015</v>
      </c>
      <c r="C132" s="5" t="n">
        <v>8.051</v>
      </c>
      <c r="D132" s="5" t="n">
        <v>11.222</v>
      </c>
      <c r="E132" s="5" t="n">
        <v>0.996</v>
      </c>
      <c r="F132" s="5" t="n">
        <v>0</v>
      </c>
      <c r="G132" s="6" t="n">
        <v>0.052</v>
      </c>
      <c r="H132" s="6" t="n">
        <v>0.038</v>
      </c>
      <c r="I132" s="6" t="n">
        <v>0.027</v>
      </c>
      <c r="J132" s="6" t="n">
        <v>0.244</v>
      </c>
      <c r="K132" s="5" t="n">
        <v>2.04</v>
      </c>
      <c r="L132" s="6" t="n">
        <v>0.141</v>
      </c>
      <c r="M132" s="5" t="n">
        <v>0.38</v>
      </c>
      <c r="N132" s="6" t="n">
        <v>0.913</v>
      </c>
      <c r="O132" s="6" t="n">
        <v>0.824</v>
      </c>
      <c r="P132" s="6" t="n">
        <v>0.173</v>
      </c>
      <c r="Q132" s="6" t="n">
        <v>0.217</v>
      </c>
    </row>
    <row r="133">
      <c r="A133" s="7" t="inlineStr">
        <is>
          <t>Real Estate</t>
        </is>
      </c>
      <c r="B133" s="8" t="n">
        <v>2016</v>
      </c>
      <c r="C133" s="9" t="n">
        <v>9.379</v>
      </c>
      <c r="D133" s="9" t="n">
        <v>11.497</v>
      </c>
      <c r="E133" s="9" t="n">
        <v>0.951</v>
      </c>
      <c r="F133" s="9" t="n">
        <v>0.833</v>
      </c>
      <c r="G133" s="10" t="n">
        <v>0.046</v>
      </c>
      <c r="H133" s="10" t="n">
        <v>0.042</v>
      </c>
      <c r="I133" s="10" t="n">
        <v>0.03</v>
      </c>
      <c r="J133" s="10" t="n">
        <v>0.294</v>
      </c>
      <c r="K133" s="9" t="n">
        <v>1.655</v>
      </c>
      <c r="L133" s="10" t="n">
        <v>0.101</v>
      </c>
      <c r="M133" s="9" t="n">
        <v>0.372</v>
      </c>
      <c r="N133" s="10" t="n">
        <v>0.738</v>
      </c>
      <c r="O133" s="10" t="n">
        <v>0.793</v>
      </c>
      <c r="P133" s="10" t="n">
        <v>0.07199999999999999</v>
      </c>
      <c r="Q133" s="10" t="n">
        <v>-0.234</v>
      </c>
    </row>
    <row r="134">
      <c r="A134" s="3" t="inlineStr">
        <is>
          <t>Real Estate</t>
        </is>
      </c>
      <c r="B134" s="4" t="n">
        <v>2017</v>
      </c>
      <c r="C134" s="5" t="n">
        <v>10.966</v>
      </c>
      <c r="D134" s="5" t="n">
        <v>12.564</v>
      </c>
      <c r="E134" s="5" t="n">
        <v>0.953</v>
      </c>
      <c r="F134" s="5" t="n">
        <v>0.288</v>
      </c>
      <c r="G134" s="6" t="n">
        <v>0.041</v>
      </c>
      <c r="H134" s="6" t="n">
        <v>0.04</v>
      </c>
      <c r="I134" s="6" t="n">
        <v>0.03</v>
      </c>
      <c r="J134" s="6" t="n">
        <v>0.333</v>
      </c>
      <c r="K134" s="5" t="n">
        <v>1.852</v>
      </c>
      <c r="L134" s="6" t="n">
        <v>0.08799999999999999</v>
      </c>
      <c r="M134" s="5" t="n">
        <v>0.322</v>
      </c>
      <c r="N134" s="6" t="n">
        <v>0.757</v>
      </c>
      <c r="O134" s="6" t="n">
        <v>0.827</v>
      </c>
      <c r="P134" s="6" t="n">
        <v>0.078</v>
      </c>
      <c r="Q134" s="6" t="n">
        <v>0.1</v>
      </c>
    </row>
    <row r="135">
      <c r="A135" s="7" t="inlineStr">
        <is>
          <t>Real Estate</t>
        </is>
      </c>
      <c r="B135" s="8" t="n">
        <v>2018</v>
      </c>
      <c r="C135" s="9" t="n">
        <v>10.666</v>
      </c>
      <c r="D135" s="9" t="n">
        <v>19.676</v>
      </c>
      <c r="E135" s="9" t="n">
        <v>0.907</v>
      </c>
      <c r="F135" s="9" t="n">
        <v>0.55</v>
      </c>
      <c r="G135" s="10" t="n">
        <v>0.049</v>
      </c>
      <c r="H135" s="10" t="n">
        <v>0.046</v>
      </c>
      <c r="I135" s="10" t="n">
        <v>0.043</v>
      </c>
      <c r="J135" s="10" t="n">
        <v>0.379</v>
      </c>
      <c r="K135" s="9" t="n">
        <v>1.896</v>
      </c>
      <c r="L135" s="10" t="n">
        <v>0.074</v>
      </c>
      <c r="M135" s="9" t="n">
        <v>0.343</v>
      </c>
      <c r="N135" s="10" t="n">
        <v>0.628</v>
      </c>
      <c r="O135" s="10" t="n">
        <v>0.8090000000000001</v>
      </c>
      <c r="P135" s="10" t="n">
        <v>0.059</v>
      </c>
      <c r="Q135" s="10" t="n">
        <v>-0.199</v>
      </c>
    </row>
    <row r="136">
      <c r="A136" s="3" t="inlineStr">
        <is>
          <t>Real Estate</t>
        </is>
      </c>
      <c r="B136" s="4" t="n">
        <v>2019</v>
      </c>
      <c r="C136" s="5" t="n">
        <v>12.309</v>
      </c>
      <c r="D136" s="5" t="n">
        <v>14.833</v>
      </c>
      <c r="E136" s="5" t="n">
        <v>0.929</v>
      </c>
      <c r="F136" s="5" t="n">
        <v>1.127</v>
      </c>
      <c r="G136" s="6" t="n">
        <v>0.047</v>
      </c>
      <c r="H136" s="6" t="n">
        <v>0.049</v>
      </c>
      <c r="I136" s="6" t="n">
        <v>0.04</v>
      </c>
      <c r="J136" s="6" t="n">
        <v>0.326</v>
      </c>
      <c r="K136" s="5" t="n">
        <v>2.339</v>
      </c>
      <c r="L136" s="6" t="n">
        <v>0.043</v>
      </c>
      <c r="M136" s="5" t="n">
        <v>0.415</v>
      </c>
      <c r="N136" s="6" t="n">
        <v>0.285</v>
      </c>
      <c r="O136" s="6" t="n">
        <v>0.787</v>
      </c>
      <c r="P136" s="6" t="n">
        <v>0.024</v>
      </c>
      <c r="Q136" s="6" t="n">
        <v>-0.285</v>
      </c>
    </row>
    <row r="137">
      <c r="A137" s="7" t="inlineStr">
        <is>
          <t>Real Estate</t>
        </is>
      </c>
      <c r="B137" s="8" t="n">
        <v>2020</v>
      </c>
      <c r="C137" s="9" t="n">
        <v>7.009</v>
      </c>
      <c r="D137" s="9" t="n">
        <v>13.649</v>
      </c>
      <c r="E137" s="9" t="n">
        <v>0.844</v>
      </c>
      <c r="F137" s="9" t="n">
        <v>0.013</v>
      </c>
      <c r="G137" s="10" t="n">
        <v>0.04</v>
      </c>
      <c r="H137" s="10" t="n">
        <v>0.041</v>
      </c>
      <c r="I137" s="10" t="n">
        <v>0.032</v>
      </c>
      <c r="J137" s="10" t="n">
        <v>0.117</v>
      </c>
      <c r="K137" s="9" t="n">
        <v>2.201</v>
      </c>
      <c r="L137" s="10" t="n">
        <v>0.03</v>
      </c>
      <c r="M137" s="9" t="n">
        <v>0.459</v>
      </c>
      <c r="N137" s="10" t="n">
        <v>0.095</v>
      </c>
      <c r="O137" s="10" t="n">
        <v>0.75</v>
      </c>
      <c r="P137" s="10" t="n">
        <v>-0.01</v>
      </c>
      <c r="Q137" s="10" t="n">
        <v>0.015</v>
      </c>
    </row>
    <row r="138">
      <c r="A138" s="3" t="inlineStr">
        <is>
          <t>Real Estate</t>
        </is>
      </c>
      <c r="B138" s="4" t="n">
        <v>2021</v>
      </c>
      <c r="C138" s="5" t="n">
        <v>6.711</v>
      </c>
      <c r="D138" s="5" t="n">
        <v>14.665</v>
      </c>
      <c r="E138" s="5" t="n">
        <v>0.878</v>
      </c>
      <c r="F138" s="5" t="n">
        <v>0.302</v>
      </c>
      <c r="G138" s="6" t="n">
        <v>0.056</v>
      </c>
      <c r="H138" s="6" t="n">
        <v>0.045</v>
      </c>
      <c r="I138" s="6" t="n">
        <v>0.026</v>
      </c>
      <c r="J138" s="6" t="n">
        <v>0.199</v>
      </c>
      <c r="K138" s="5" t="n">
        <v>1.883</v>
      </c>
      <c r="L138" s="6" t="n">
        <v>0.08699999999999999</v>
      </c>
      <c r="M138" s="5" t="n">
        <v>0.354</v>
      </c>
      <c r="N138" s="6" t="n">
        <v>0.855</v>
      </c>
      <c r="O138" s="6" t="n">
        <v>0.695</v>
      </c>
      <c r="P138" s="6" t="n">
        <v>0.078</v>
      </c>
      <c r="Q138" s="6" t="n">
        <v>0.252</v>
      </c>
    </row>
    <row r="139">
      <c r="A139" s="7" t="inlineStr">
        <is>
          <t>Real Estate</t>
        </is>
      </c>
      <c r="B139" s="8" t="n">
        <v>2022</v>
      </c>
      <c r="C139" s="9" t="n">
        <v>3.498</v>
      </c>
      <c r="D139" s="9" t="n">
        <v>6.802</v>
      </c>
      <c r="E139" s="9" t="n">
        <v>0.745</v>
      </c>
      <c r="F139" s="9" t="n">
        <v>0.03</v>
      </c>
      <c r="G139" s="10" t="n">
        <v>0.044</v>
      </c>
      <c r="H139" s="10" t="n">
        <v>0.059</v>
      </c>
      <c r="I139" s="10" t="n">
        <v>0.038</v>
      </c>
      <c r="J139" s="10" t="n">
        <v>0.099</v>
      </c>
      <c r="K139" s="9" t="n">
        <v>1.812</v>
      </c>
      <c r="L139" s="10" t="n">
        <v>0.044</v>
      </c>
      <c r="M139" s="9" t="n">
        <v>0.383</v>
      </c>
      <c r="N139" s="10" t="n">
        <v>0.076</v>
      </c>
      <c r="O139" s="10" t="n">
        <v>0.699</v>
      </c>
      <c r="P139" s="10" t="n">
        <v>0.06</v>
      </c>
      <c r="Q139" s="10" t="n">
        <v>-0.959</v>
      </c>
    </row>
    <row r="140">
      <c r="A140" s="3" t="inlineStr">
        <is>
          <t>Real Estate</t>
        </is>
      </c>
      <c r="B140" s="4" t="n">
        <v>2023</v>
      </c>
      <c r="C140" s="5" t="n">
        <v>21.175</v>
      </c>
      <c r="D140" s="5" t="n">
        <v>7.565</v>
      </c>
      <c r="E140" s="5" t="n">
        <v>0.705</v>
      </c>
      <c r="F140" s="5" t="n">
        <v>0.366</v>
      </c>
      <c r="G140" s="6" t="n">
        <v>0.035</v>
      </c>
      <c r="H140" s="6" t="n">
        <v>0.046</v>
      </c>
      <c r="I140" s="6" t="n">
        <v>0.044</v>
      </c>
      <c r="J140" s="6" t="n">
        <v>0</v>
      </c>
      <c r="K140" s="5" t="n">
        <v>1.226</v>
      </c>
      <c r="L140" s="6" t="n">
        <v>-0.004</v>
      </c>
      <c r="M140" s="5" t="n">
        <v>0.431</v>
      </c>
      <c r="N140" s="6" t="n">
        <v>-0.032</v>
      </c>
      <c r="O140" s="6" t="n">
        <v>0.718</v>
      </c>
      <c r="P140" s="6" t="n">
        <v>0.048</v>
      </c>
      <c r="Q140" s="6" t="n">
        <v>-0.728</v>
      </c>
    </row>
    <row r="141">
      <c r="A141" s="7" t="inlineStr">
        <is>
          <t>Real Estate</t>
        </is>
      </c>
      <c r="B141" s="8" t="n">
        <v>2024</v>
      </c>
      <c r="C141" s="9" t="n">
        <v>8.734999999999999</v>
      </c>
      <c r="D141" s="9" t="n">
        <v>9.920999999999999</v>
      </c>
      <c r="E141" s="9" t="n">
        <v>0.761</v>
      </c>
      <c r="F141" s="9" t="n">
        <v>1.946</v>
      </c>
      <c r="G141" s="10" t="n">
        <v>0.028</v>
      </c>
      <c r="H141" s="10" t="n">
        <v>0.054</v>
      </c>
      <c r="I141" s="10" t="n">
        <v>0.04</v>
      </c>
      <c r="J141" s="10" t="n">
        <v>0.313</v>
      </c>
      <c r="K141" s="9" t="n">
        <v>0.892</v>
      </c>
      <c r="L141" s="10" t="n">
        <v>0.035</v>
      </c>
      <c r="M141" s="9" t="n">
        <v>0.428</v>
      </c>
      <c r="N141" s="10" t="n">
        <v>0.163</v>
      </c>
      <c r="O141" s="10" t="n">
        <v>0.711</v>
      </c>
      <c r="P141" s="10" t="n">
        <v>0.029</v>
      </c>
      <c r="Q141" s="10" t="n">
        <v>-0.173</v>
      </c>
    </row>
    <row r="142">
      <c r="A142" s="3" t="inlineStr">
        <is>
          <t>Real Estate</t>
        </is>
      </c>
      <c r="B142" s="4" t="n">
        <v>2025</v>
      </c>
      <c r="C142" s="5" t="n">
        <v>11.019</v>
      </c>
      <c r="D142" s="5" t="n">
        <v>13.962</v>
      </c>
      <c r="E142" s="5" t="n">
        <v>0.703</v>
      </c>
      <c r="F142" s="5" t="n">
        <v>0.013</v>
      </c>
      <c r="G142" s="6" t="n">
        <v>0.032</v>
      </c>
      <c r="H142" s="6" t="n">
        <v>0.044</v>
      </c>
      <c r="I142" s="6" t="n">
        <v>0.044</v>
      </c>
      <c r="J142" s="6" t="n">
        <v>0.521</v>
      </c>
      <c r="K142" s="5" t="n">
        <v>1.169</v>
      </c>
      <c r="L142" s="6" t="n">
        <v>0.047</v>
      </c>
      <c r="M142" s="5" t="n">
        <v>0.43</v>
      </c>
      <c r="N142" s="6" t="n">
        <v>0.229</v>
      </c>
      <c r="O142" s="6" t="n">
        <v>0.653</v>
      </c>
      <c r="P142" s="6" t="n">
        <v>0.048</v>
      </c>
      <c r="Q142" s="6" t="n">
        <v>-0.158</v>
      </c>
    </row>
    <row r="143">
      <c r="A143" s="7" t="inlineStr">
        <is>
          <t>Real Estate</t>
        </is>
      </c>
      <c r="B143" s="8" t="n">
        <v>2026</v>
      </c>
      <c r="C143" s="9" t="n">
        <v>11.979</v>
      </c>
      <c r="D143" s="9" t="n">
        <v>15.093</v>
      </c>
      <c r="E143" s="9" t="n">
        <v>0.629</v>
      </c>
      <c r="F143" s="9" t="n">
        <v>0.276</v>
      </c>
      <c r="G143" s="10" t="n">
        <v>0.037</v>
      </c>
      <c r="H143" s="10" t="n">
        <v>0.005</v>
      </c>
      <c r="I143" s="10" t="n">
        <v>0.06</v>
      </c>
      <c r="J143" s="10" t="n">
        <v>0.746</v>
      </c>
      <c r="K143" s="9" t="n">
        <v>0.306</v>
      </c>
      <c r="L143" s="10" t="n">
        <v>0.063</v>
      </c>
      <c r="M143" s="9" t="n">
        <v>0.505</v>
      </c>
      <c r="N143" s="10" t="n">
        <v>0.636</v>
      </c>
      <c r="O143" s="10" t="n">
        <v>0.696</v>
      </c>
      <c r="P143" s="10" t="n">
        <v>0.156</v>
      </c>
      <c r="Q143" s="10" t="n">
        <v>-0.134</v>
      </c>
    </row>
    <row r="144">
      <c r="A144" s="3" t="inlineStr">
        <is>
          <t>Technology</t>
        </is>
      </c>
      <c r="B144" s="4" t="n">
        <v>2011</v>
      </c>
      <c r="C144" s="5" t="n">
        <v>8.916</v>
      </c>
      <c r="D144" s="5" t="n">
        <v>7.18</v>
      </c>
      <c r="E144" s="5" t="n">
        <v>2.079</v>
      </c>
      <c r="F144" s="5" t="n">
        <v>0.036</v>
      </c>
      <c r="G144" s="6" t="n">
        <v>0.1</v>
      </c>
      <c r="H144" s="6" t="n">
        <v>0.021</v>
      </c>
      <c r="I144" s="6" t="n">
        <v>0.002</v>
      </c>
      <c r="J144" s="6" t="n">
        <v>0</v>
      </c>
      <c r="K144" s="5" t="n">
        <v>1.647</v>
      </c>
      <c r="L144" s="6" t="n">
        <v>0.117</v>
      </c>
      <c r="M144" s="5" t="n">
        <v>0.008</v>
      </c>
      <c r="N144" s="6" t="n">
        <v>0.056</v>
      </c>
      <c r="O144" s="6" t="n">
        <v>0.516</v>
      </c>
      <c r="P144" s="6" t="n"/>
      <c r="Q144" s="6" t="n"/>
    </row>
    <row r="145">
      <c r="A145" s="7" t="inlineStr">
        <is>
          <t>Technology</t>
        </is>
      </c>
      <c r="B145" s="8" t="n">
        <v>2012</v>
      </c>
      <c r="C145" s="9" t="n">
        <v>12.133</v>
      </c>
      <c r="D145" s="9" t="n">
        <v>5.389</v>
      </c>
      <c r="E145" s="9" t="n">
        <v>2.48</v>
      </c>
      <c r="F145" s="9" t="n">
        <v>0.016</v>
      </c>
      <c r="G145" s="10" t="n">
        <v>0.098</v>
      </c>
      <c r="H145" s="10" t="n">
        <v>0.043</v>
      </c>
      <c r="I145" s="10" t="n">
        <v>0</v>
      </c>
      <c r="J145" s="10" t="n">
        <v>0</v>
      </c>
      <c r="K145" s="9" t="n">
        <v>1.552</v>
      </c>
      <c r="L145" s="10" t="n">
        <v>0.118</v>
      </c>
      <c r="M145" s="9" t="n">
        <v>0.008999999999999999</v>
      </c>
      <c r="N145" s="10" t="n">
        <v>0.047</v>
      </c>
      <c r="O145" s="10" t="n">
        <v>0.5</v>
      </c>
      <c r="P145" s="10" t="n">
        <v>0.113</v>
      </c>
      <c r="Q145" s="10" t="n">
        <v>0.028</v>
      </c>
    </row>
    <row r="146">
      <c r="A146" s="3" t="inlineStr">
        <is>
          <t>Technology</t>
        </is>
      </c>
      <c r="B146" s="4" t="n">
        <v>2013</v>
      </c>
      <c r="C146" s="5" t="n">
        <v>13.793</v>
      </c>
      <c r="D146" s="5" t="n">
        <v>8.394</v>
      </c>
      <c r="E146" s="5" t="n">
        <v>2.56</v>
      </c>
      <c r="F146" s="5" t="n">
        <v>3.502</v>
      </c>
      <c r="G146" s="6" t="n">
        <v>0.08699999999999999</v>
      </c>
      <c r="H146" s="6" t="n">
        <v>0.008999999999999999</v>
      </c>
      <c r="I146" s="6" t="n">
        <v>0.002</v>
      </c>
      <c r="J146" s="6" t="n">
        <v>0</v>
      </c>
      <c r="K146" s="5" t="n">
        <v>1.669</v>
      </c>
      <c r="L146" s="6" t="n">
        <v>0.08699999999999999</v>
      </c>
      <c r="M146" s="5" t="n">
        <v>0.025</v>
      </c>
      <c r="N146" s="6" t="n">
        <v>0.041</v>
      </c>
      <c r="O146" s="6" t="n">
        <v>0.484</v>
      </c>
      <c r="P146" s="6" t="n">
        <v>0.042</v>
      </c>
      <c r="Q146" s="6" t="n">
        <v>0.148</v>
      </c>
    </row>
    <row r="147">
      <c r="A147" s="7" t="inlineStr">
        <is>
          <t>Technology</t>
        </is>
      </c>
      <c r="B147" s="8" t="n">
        <v>2014</v>
      </c>
      <c r="C147" s="9" t="n">
        <v>8.173</v>
      </c>
      <c r="D147" s="9" t="n">
        <v>8.414999999999999</v>
      </c>
      <c r="E147" s="9" t="n">
        <v>2.725</v>
      </c>
      <c r="F147" s="9" t="n">
        <v>0.008</v>
      </c>
      <c r="G147" s="10" t="n">
        <v>0.06</v>
      </c>
      <c r="H147" s="10" t="n">
        <v>0.03</v>
      </c>
      <c r="I147" s="10" t="n">
        <v>0.001</v>
      </c>
      <c r="J147" s="10" t="n">
        <v>0</v>
      </c>
      <c r="K147" s="9" t="n">
        <v>1.807</v>
      </c>
      <c r="L147" s="10" t="n">
        <v>0.077</v>
      </c>
      <c r="M147" s="9" t="n">
        <v>0.02</v>
      </c>
      <c r="N147" s="10" t="n">
        <v>0.051</v>
      </c>
      <c r="O147" s="10" t="n">
        <v>0.511</v>
      </c>
      <c r="P147" s="10" t="n">
        <v>0.05</v>
      </c>
      <c r="Q147" s="10" t="n">
        <v>-0.01</v>
      </c>
    </row>
    <row r="148">
      <c r="A148" s="3" t="inlineStr">
        <is>
          <t>Technology</t>
        </is>
      </c>
      <c r="B148" s="4" t="n">
        <v>2015</v>
      </c>
      <c r="C148" s="5" t="n">
        <v>10.159</v>
      </c>
      <c r="D148" s="5" t="n">
        <v>7.785</v>
      </c>
      <c r="E148" s="5" t="n">
        <v>2.901</v>
      </c>
      <c r="F148" s="5" t="n">
        <v>0.034</v>
      </c>
      <c r="G148" s="6" t="n">
        <v>0.058</v>
      </c>
      <c r="H148" s="6" t="n">
        <v>0.026</v>
      </c>
      <c r="I148" s="6" t="n">
        <v>0</v>
      </c>
      <c r="J148" s="6" t="n">
        <v>0</v>
      </c>
      <c r="K148" s="5" t="n">
        <v>1.514</v>
      </c>
      <c r="L148" s="6" t="n">
        <v>0.068</v>
      </c>
      <c r="M148" s="5" t="n">
        <v>0.037</v>
      </c>
      <c r="N148" s="6" t="n">
        <v>0.042</v>
      </c>
      <c r="O148" s="6" t="n">
        <v>0.513</v>
      </c>
      <c r="P148" s="6" t="n">
        <v>0.067</v>
      </c>
      <c r="Q148" s="6" t="n">
        <v>0.133</v>
      </c>
    </row>
    <row r="149">
      <c r="A149" s="7" t="inlineStr">
        <is>
          <t>Technology</t>
        </is>
      </c>
      <c r="B149" s="8" t="n">
        <v>2016</v>
      </c>
      <c r="C149" s="9" t="n">
        <v>12.203</v>
      </c>
      <c r="D149" s="9" t="n">
        <v>9.403</v>
      </c>
      <c r="E149" s="9" t="n">
        <v>3.314</v>
      </c>
      <c r="F149" s="9" t="n">
        <v>0.012</v>
      </c>
      <c r="G149" s="10" t="n">
        <v>0.067</v>
      </c>
      <c r="H149" s="10" t="n">
        <v>0.008</v>
      </c>
      <c r="I149" s="10" t="n">
        <v>0.001</v>
      </c>
      <c r="J149" s="10" t="n">
        <v>0</v>
      </c>
      <c r="K149" s="9" t="n">
        <v>1.664</v>
      </c>
      <c r="L149" s="10" t="n">
        <v>0.104</v>
      </c>
      <c r="M149" s="9" t="n">
        <v>0.026</v>
      </c>
      <c r="N149" s="10" t="n">
        <v>0.05</v>
      </c>
      <c r="O149" s="10" t="n">
        <v>0.542</v>
      </c>
      <c r="P149" s="10" t="n">
        <v>0.093</v>
      </c>
      <c r="Q149" s="10" t="n">
        <v>0.029</v>
      </c>
    </row>
    <row r="150">
      <c r="A150" s="3" t="inlineStr">
        <is>
          <t>Technology</t>
        </is>
      </c>
      <c r="B150" s="4" t="n">
        <v>2017</v>
      </c>
      <c r="C150" s="5" t="n">
        <v>12.99</v>
      </c>
      <c r="D150" s="5" t="n">
        <v>10.796</v>
      </c>
      <c r="E150" s="5" t="n">
        <v>3.53</v>
      </c>
      <c r="F150" s="5" t="n">
        <v>0.012</v>
      </c>
      <c r="G150" s="6" t="n">
        <v>0.078</v>
      </c>
      <c r="H150" s="6" t="n">
        <v>0.028</v>
      </c>
      <c r="I150" s="6" t="n">
        <v>0</v>
      </c>
      <c r="J150" s="6" t="n">
        <v>0</v>
      </c>
      <c r="K150" s="5" t="n">
        <v>1.618</v>
      </c>
      <c r="L150" s="6" t="n">
        <v>0.11</v>
      </c>
      <c r="M150" s="5" t="n">
        <v>0.016</v>
      </c>
      <c r="N150" s="6" t="n">
        <v>0.05</v>
      </c>
      <c r="O150" s="6" t="n">
        <v>0.553</v>
      </c>
      <c r="P150" s="6" t="n">
        <v>0.142</v>
      </c>
      <c r="Q150" s="6" t="n">
        <v>-0.014</v>
      </c>
    </row>
    <row r="151">
      <c r="A151" s="7" t="inlineStr">
        <is>
          <t>Technology</t>
        </is>
      </c>
      <c r="B151" s="8" t="n">
        <v>2018</v>
      </c>
      <c r="C151" s="9" t="n">
        <v>15.56</v>
      </c>
      <c r="D151" s="9" t="n">
        <v>10.201</v>
      </c>
      <c r="E151" s="9" t="n">
        <v>3.384</v>
      </c>
      <c r="F151" s="9" t="n">
        <v>0.066</v>
      </c>
      <c r="G151" s="10" t="n">
        <v>0.08699999999999999</v>
      </c>
      <c r="H151" s="10" t="n">
        <v>0.032</v>
      </c>
      <c r="I151" s="10" t="n">
        <v>0</v>
      </c>
      <c r="J151" s="10" t="n">
        <v>0</v>
      </c>
      <c r="K151" s="9" t="n">
        <v>1.486</v>
      </c>
      <c r="L151" s="10" t="n">
        <v>0.109</v>
      </c>
      <c r="M151" s="9" t="n">
        <v>0.11</v>
      </c>
      <c r="N151" s="10" t="n">
        <v>0.043</v>
      </c>
      <c r="O151" s="10" t="n">
        <v>0.522</v>
      </c>
      <c r="P151" s="10" t="n">
        <v>0.098</v>
      </c>
      <c r="Q151" s="10" t="n">
        <v>-0.188</v>
      </c>
    </row>
    <row r="152">
      <c r="A152" s="3" t="inlineStr">
        <is>
          <t>Technology</t>
        </is>
      </c>
      <c r="B152" s="4" t="n">
        <v>2019</v>
      </c>
      <c r="C152" s="5" t="n">
        <v>13.95</v>
      </c>
      <c r="D152" s="5" t="n">
        <v>10.699</v>
      </c>
      <c r="E152" s="5" t="n">
        <v>3.562</v>
      </c>
      <c r="F152" s="5" t="n">
        <v>0.023</v>
      </c>
      <c r="G152" s="6" t="n">
        <v>0.059</v>
      </c>
      <c r="H152" s="6" t="n">
        <v>0.03</v>
      </c>
      <c r="I152" s="6" t="n">
        <v>0</v>
      </c>
      <c r="J152" s="6" t="n">
        <v>0</v>
      </c>
      <c r="K152" s="5" t="n">
        <v>1.596</v>
      </c>
      <c r="L152" s="6" t="n">
        <v>0.096</v>
      </c>
      <c r="M152" s="5" t="n">
        <v>0.147</v>
      </c>
      <c r="N152" s="6" t="n">
        <v>0.031</v>
      </c>
      <c r="O152" s="6" t="n">
        <v>0.495</v>
      </c>
      <c r="P152" s="6" t="n">
        <v>0.089</v>
      </c>
      <c r="Q152" s="6" t="n">
        <v>0.064</v>
      </c>
    </row>
    <row r="153">
      <c r="A153" s="7" t="inlineStr">
        <is>
          <t>Technology</t>
        </is>
      </c>
      <c r="B153" s="8" t="n">
        <v>2020</v>
      </c>
      <c r="C153" s="9" t="n">
        <v>21.699</v>
      </c>
      <c r="D153" s="9" t="n">
        <v>13.477</v>
      </c>
      <c r="E153" s="9" t="n">
        <v>3.922</v>
      </c>
      <c r="F153" s="9" t="n">
        <v>0.08799999999999999</v>
      </c>
      <c r="G153" s="10" t="n">
        <v>0.051</v>
      </c>
      <c r="H153" s="10" t="n">
        <v>0.029</v>
      </c>
      <c r="I153" s="10" t="n">
        <v>0</v>
      </c>
      <c r="J153" s="10" t="n">
        <v>0</v>
      </c>
      <c r="K153" s="9" t="n">
        <v>1.541</v>
      </c>
      <c r="L153" s="10" t="n">
        <v>0.058</v>
      </c>
      <c r="M153" s="9" t="n">
        <v>0.21</v>
      </c>
      <c r="N153" s="10" t="n">
        <v>0.037</v>
      </c>
      <c r="O153" s="10" t="n">
        <v>0.504</v>
      </c>
      <c r="P153" s="10" t="n">
        <v>0.036</v>
      </c>
      <c r="Q153" s="10" t="n">
        <v>-0.168</v>
      </c>
    </row>
    <row r="154">
      <c r="A154" s="3" t="inlineStr">
        <is>
          <t>Technology</t>
        </is>
      </c>
      <c r="B154" s="4" t="n">
        <v>2021</v>
      </c>
      <c r="C154" s="5" t="n">
        <v>21.359</v>
      </c>
      <c r="D154" s="5" t="n">
        <v>14.256</v>
      </c>
      <c r="E154" s="5" t="n">
        <v>3.714</v>
      </c>
      <c r="F154" s="5" t="n">
        <v>3.269</v>
      </c>
      <c r="G154" s="6" t="n">
        <v>0.056</v>
      </c>
      <c r="H154" s="6" t="n">
        <v>0.023</v>
      </c>
      <c r="I154" s="6" t="n">
        <v>0</v>
      </c>
      <c r="J154" s="6" t="n">
        <v>0</v>
      </c>
      <c r="K154" s="5" t="n">
        <v>1.565</v>
      </c>
      <c r="L154" s="6" t="n">
        <v>0.081</v>
      </c>
      <c r="M154" s="5" t="n">
        <v>0.083</v>
      </c>
      <c r="N154" s="6" t="n">
        <v>0.047</v>
      </c>
      <c r="O154" s="6" t="n">
        <v>0.516</v>
      </c>
      <c r="P154" s="6" t="n">
        <v>0.129</v>
      </c>
      <c r="Q154" s="6" t="n">
        <v>-0.089</v>
      </c>
    </row>
    <row r="155">
      <c r="A155" s="7" t="inlineStr">
        <is>
          <t>Technology</t>
        </is>
      </c>
      <c r="B155" s="8" t="n">
        <v>2022</v>
      </c>
      <c r="C155" s="9" t="n">
        <v>10.906</v>
      </c>
      <c r="D155" s="9" t="n">
        <v>12.393</v>
      </c>
      <c r="E155" s="9" t="n">
        <v>2.801</v>
      </c>
      <c r="F155" s="9" t="n">
        <v>0.091</v>
      </c>
      <c r="G155" s="10" t="n">
        <v>0.037</v>
      </c>
      <c r="H155" s="10" t="n">
        <v>0.024</v>
      </c>
      <c r="I155" s="10" t="n">
        <v>0</v>
      </c>
      <c r="J155" s="10" t="n">
        <v>0</v>
      </c>
      <c r="K155" s="9" t="n">
        <v>1.429</v>
      </c>
      <c r="L155" s="10" t="n">
        <v>0.039</v>
      </c>
      <c r="M155" s="9" t="n">
        <v>0.112</v>
      </c>
      <c r="N155" s="10" t="n">
        <v>0.028</v>
      </c>
      <c r="O155" s="10" t="n">
        <v>0.513</v>
      </c>
      <c r="P155" s="10" t="n">
        <v>0.187</v>
      </c>
      <c r="Q155" s="10" t="n">
        <v>-0.035</v>
      </c>
    </row>
    <row r="156">
      <c r="A156" s="3" t="inlineStr">
        <is>
          <t>Technology</t>
        </is>
      </c>
      <c r="B156" s="4" t="n">
        <v>2023</v>
      </c>
      <c r="C156" s="5" t="n">
        <v>9.551</v>
      </c>
      <c r="D156" s="5" t="n">
        <v>9.433</v>
      </c>
      <c r="E156" s="5" t="n">
        <v>2.778</v>
      </c>
      <c r="F156" s="5" t="n">
        <v>0.004</v>
      </c>
      <c r="G156" s="6" t="n">
        <v>0.043</v>
      </c>
      <c r="H156" s="6" t="n">
        <v>0.032</v>
      </c>
      <c r="I156" s="6" t="n">
        <v>0</v>
      </c>
      <c r="J156" s="6" t="n">
        <v>0</v>
      </c>
      <c r="K156" s="5" t="n">
        <v>1.53</v>
      </c>
      <c r="L156" s="6" t="n">
        <v>0.052</v>
      </c>
      <c r="M156" s="5" t="n">
        <v>0.118</v>
      </c>
      <c r="N156" s="6" t="n">
        <v>0.029</v>
      </c>
      <c r="O156" s="6" t="n">
        <v>0.5679999999999999</v>
      </c>
      <c r="P156" s="6" t="n">
        <v>0.107</v>
      </c>
      <c r="Q156" s="6" t="n">
        <v>0.08500000000000001</v>
      </c>
    </row>
    <row r="157">
      <c r="A157" s="7" t="inlineStr">
        <is>
          <t>Technology</t>
        </is>
      </c>
      <c r="B157" s="8" t="n">
        <v>2024</v>
      </c>
      <c r="C157" s="9" t="n">
        <v>18.053</v>
      </c>
      <c r="D157" s="9" t="n">
        <v>8.888999999999999</v>
      </c>
      <c r="E157" s="9" t="n">
        <v>2.484</v>
      </c>
      <c r="F157" s="9" t="n">
        <v>1.54</v>
      </c>
      <c r="G157" s="10" t="n">
        <v>0.043</v>
      </c>
      <c r="H157" s="10" t="n">
        <v>0.046</v>
      </c>
      <c r="I157" s="10" t="n">
        <v>0</v>
      </c>
      <c r="J157" s="10" t="n">
        <v>0</v>
      </c>
      <c r="K157" s="9" t="n">
        <v>1.594</v>
      </c>
      <c r="L157" s="10" t="n">
        <v>0.07000000000000001</v>
      </c>
      <c r="M157" s="9" t="n">
        <v>0.078</v>
      </c>
      <c r="N157" s="10" t="n">
        <v>0.03</v>
      </c>
      <c r="O157" s="10" t="n">
        <v>0.569</v>
      </c>
      <c r="P157" s="10" t="n">
        <v>0.019</v>
      </c>
      <c r="Q157" s="10" t="n">
        <v>-0.364</v>
      </c>
    </row>
    <row r="158">
      <c r="A158" s="3" t="inlineStr">
        <is>
          <t>Technology</t>
        </is>
      </c>
      <c r="B158" s="4" t="n">
        <v>2025</v>
      </c>
      <c r="C158" s="5" t="n">
        <v>14.177</v>
      </c>
      <c r="D158" s="5" t="n">
        <v>8.781000000000001</v>
      </c>
      <c r="E158" s="5" t="n">
        <v>2.324</v>
      </c>
      <c r="F158" s="5" t="n">
        <v>0.042</v>
      </c>
      <c r="G158" s="6" t="n">
        <v>0.053</v>
      </c>
      <c r="H158" s="6" t="n">
        <v>0.055</v>
      </c>
      <c r="I158" s="6" t="n">
        <v>0.007</v>
      </c>
      <c r="J158" s="6" t="n">
        <v>0</v>
      </c>
      <c r="K158" s="5" t="n">
        <v>1.447</v>
      </c>
      <c r="L158" s="6" t="n">
        <v>0.061</v>
      </c>
      <c r="M158" s="5" t="n">
        <v>0.07000000000000001</v>
      </c>
      <c r="N158" s="6" t="n">
        <v>0.031</v>
      </c>
      <c r="O158" s="6" t="n">
        <v>0.513</v>
      </c>
      <c r="P158" s="6" t="n">
        <v>0.03</v>
      </c>
      <c r="Q158" s="6" t="n">
        <v>-0.055</v>
      </c>
    </row>
    <row r="159">
      <c r="A159" s="7" t="inlineStr">
        <is>
          <t>Technology</t>
        </is>
      </c>
      <c r="B159" s="8" t="n">
        <v>2026</v>
      </c>
      <c r="C159" s="9" t="n"/>
      <c r="D159" s="9" t="n"/>
      <c r="E159" s="9" t="n">
        <v>2.379</v>
      </c>
      <c r="F159" s="9" t="n">
        <v>0.321</v>
      </c>
      <c r="G159" s="10" t="n">
        <v>-0.189</v>
      </c>
      <c r="H159" s="10" t="n">
        <v>-0.005</v>
      </c>
      <c r="I159" s="10" t="n">
        <v>0</v>
      </c>
      <c r="J159" s="10" t="n">
        <v>0</v>
      </c>
      <c r="K159" s="9" t="n">
        <v>1.197</v>
      </c>
      <c r="L159" s="10" t="n">
        <v>-0.333</v>
      </c>
      <c r="M159" s="9" t="n">
        <v>0.036</v>
      </c>
      <c r="N159" s="10" t="n">
        <v>-0.204</v>
      </c>
      <c r="O159" s="10" t="n">
        <v>0.606</v>
      </c>
      <c r="P159" s="10" t="n">
        <v>-0.028</v>
      </c>
      <c r="Q159" s="10" t="n">
        <v>-0.222</v>
      </c>
    </row>
    <row r="160">
      <c r="A160" s="3" t="inlineStr">
        <is>
          <t>Utilities</t>
        </is>
      </c>
      <c r="B160" s="4" t="n">
        <v>2011</v>
      </c>
      <c r="C160" s="5" t="n">
        <v>12.915</v>
      </c>
      <c r="D160" s="5" t="n">
        <v>6.966</v>
      </c>
      <c r="E160" s="5" t="n">
        <v>2.665</v>
      </c>
      <c r="F160" s="5" t="n">
        <v>0.03</v>
      </c>
      <c r="G160" s="6" t="n">
        <v>0.063</v>
      </c>
      <c r="H160" s="6" t="n">
        <v>0.064</v>
      </c>
      <c r="I160" s="6" t="n">
        <v>0.035</v>
      </c>
      <c r="J160" s="6" t="n">
        <v>0.331</v>
      </c>
      <c r="K160" s="5" t="n">
        <v>1.28</v>
      </c>
      <c r="L160" s="6" t="n">
        <v>0.288</v>
      </c>
      <c r="M160" s="5" t="n">
        <v>0.046</v>
      </c>
      <c r="N160" s="6" t="n">
        <v>0.05</v>
      </c>
      <c r="O160" s="6" t="n">
        <v>0.184</v>
      </c>
      <c r="P160" s="6" t="n"/>
      <c r="Q160" s="6" t="n"/>
    </row>
    <row r="161">
      <c r="A161" s="7" t="inlineStr">
        <is>
          <t>Utilities</t>
        </is>
      </c>
      <c r="B161" s="8" t="n">
        <v>2012</v>
      </c>
      <c r="C161" s="9" t="n">
        <v>13.27</v>
      </c>
      <c r="D161" s="9" t="n">
        <v>9.250999999999999</v>
      </c>
      <c r="E161" s="9" t="n">
        <v>2.521</v>
      </c>
      <c r="F161" s="9" t="n">
        <v>0.635</v>
      </c>
      <c r="G161" s="10" t="n">
        <v>0.065</v>
      </c>
      <c r="H161" s="10" t="n">
        <v>0.004</v>
      </c>
      <c r="I161" s="10" t="n">
        <v>0.047</v>
      </c>
      <c r="J161" s="10" t="n">
        <v>0.65</v>
      </c>
      <c r="K161" s="9" t="n">
        <v>1.007</v>
      </c>
      <c r="L161" s="10" t="n">
        <v>0.195</v>
      </c>
      <c r="M161" s="9" t="n">
        <v>1.927</v>
      </c>
      <c r="N161" s="10" t="n">
        <v>0.095</v>
      </c>
      <c r="O161" s="10" t="n">
        <v>0.536</v>
      </c>
      <c r="P161" s="10" t="n">
        <v>0.049</v>
      </c>
      <c r="Q161" s="10" t="n">
        <v>0.005</v>
      </c>
    </row>
    <row r="162">
      <c r="A162" s="3" t="inlineStr">
        <is>
          <t>Utilities</t>
        </is>
      </c>
      <c r="B162" s="4" t="n">
        <v>2013</v>
      </c>
      <c r="C162" s="5" t="n">
        <v>17.031</v>
      </c>
      <c r="D162" s="5" t="n">
        <v>10.584</v>
      </c>
      <c r="E162" s="5" t="n">
        <v>2.316</v>
      </c>
      <c r="F162" s="5" t="n">
        <v>0.463</v>
      </c>
      <c r="G162" s="6" t="n">
        <v>0.063</v>
      </c>
      <c r="H162" s="6" t="n">
        <v>0</v>
      </c>
      <c r="I162" s="6" t="n">
        <v>0.035</v>
      </c>
      <c r="J162" s="6" t="n">
        <v>0.854</v>
      </c>
      <c r="K162" s="5" t="n">
        <v>1.026</v>
      </c>
      <c r="L162" s="6" t="n">
        <v>0.179</v>
      </c>
      <c r="M162" s="5" t="n">
        <v>1.129</v>
      </c>
      <c r="N162" s="6" t="n">
        <v>0.039</v>
      </c>
      <c r="O162" s="6" t="n">
        <v>0.784</v>
      </c>
      <c r="P162" s="6" t="n">
        <v>0.042</v>
      </c>
      <c r="Q162" s="6" t="n">
        <v>-0.024</v>
      </c>
    </row>
    <row r="163">
      <c r="A163" s="7" t="inlineStr">
        <is>
          <t>Utilities</t>
        </is>
      </c>
      <c r="B163" s="8" t="n">
        <v>2014</v>
      </c>
      <c r="C163" s="9" t="n">
        <v>8.667</v>
      </c>
      <c r="D163" s="9" t="n">
        <v>9.279</v>
      </c>
      <c r="E163" s="9" t="n">
        <v>2.223</v>
      </c>
      <c r="F163" s="9" t="n">
        <v>0.056</v>
      </c>
      <c r="G163" s="10" t="n">
        <v>0.064</v>
      </c>
      <c r="H163" s="10" t="n">
        <v>-0.01</v>
      </c>
      <c r="I163" s="10" t="n">
        <v>0.043</v>
      </c>
      <c r="J163" s="10" t="n">
        <v>0.427</v>
      </c>
      <c r="K163" s="9" t="n">
        <v>0.988</v>
      </c>
      <c r="L163" s="10" t="n">
        <v>0.161</v>
      </c>
      <c r="M163" s="9" t="n">
        <v>1.372</v>
      </c>
      <c r="N163" s="10" t="n">
        <v>0.108</v>
      </c>
      <c r="O163" s="10" t="n">
        <v>0.731</v>
      </c>
      <c r="P163" s="10" t="n">
        <v>0.09</v>
      </c>
      <c r="Q163" s="10" t="n">
        <v>0.8129999999999999</v>
      </c>
    </row>
    <row r="164">
      <c r="A164" s="3" t="inlineStr">
        <is>
          <t>Utilities</t>
        </is>
      </c>
      <c r="B164" s="4" t="n">
        <v>2015</v>
      </c>
      <c r="C164" s="5" t="n">
        <v>15.607</v>
      </c>
      <c r="D164" s="5" t="n">
        <v>8.092000000000001</v>
      </c>
      <c r="E164" s="5" t="n">
        <v>2.339</v>
      </c>
      <c r="F164" s="5" t="n">
        <v>0.486</v>
      </c>
      <c r="G164" s="6" t="n">
        <v>0.054</v>
      </c>
      <c r="H164" s="6" t="n">
        <v>0.024</v>
      </c>
      <c r="I164" s="6" t="n">
        <v>0.04</v>
      </c>
      <c r="J164" s="6" t="n">
        <v>0.588</v>
      </c>
      <c r="K164" s="5" t="n">
        <v>0.91</v>
      </c>
      <c r="L164" s="6" t="n">
        <v>0.119</v>
      </c>
      <c r="M164" s="5" t="n">
        <v>1.209</v>
      </c>
      <c r="N164" s="6" t="n">
        <v>0.066</v>
      </c>
      <c r="O164" s="6" t="n">
        <v>0.6929999999999999</v>
      </c>
      <c r="P164" s="6" t="n">
        <v>0.021</v>
      </c>
      <c r="Q164" s="6" t="n">
        <v>-0.149</v>
      </c>
    </row>
    <row r="165">
      <c r="A165" s="7" t="inlineStr">
        <is>
          <t>Utilities</t>
        </is>
      </c>
      <c r="B165" s="8" t="n">
        <v>2016</v>
      </c>
      <c r="C165" s="9" t="n">
        <v>9.989000000000001</v>
      </c>
      <c r="D165" s="9" t="n">
        <v>8.662000000000001</v>
      </c>
      <c r="E165" s="9" t="n">
        <v>2.56</v>
      </c>
      <c r="F165" s="9" t="n">
        <v>0.019</v>
      </c>
      <c r="G165" s="10" t="n">
        <v>0.058</v>
      </c>
      <c r="H165" s="10" t="n">
        <v>0.044</v>
      </c>
      <c r="I165" s="10" t="n">
        <v>0.04</v>
      </c>
      <c r="J165" s="10" t="n">
        <v>0.556</v>
      </c>
      <c r="K165" s="9" t="n">
        <v>0.822</v>
      </c>
      <c r="L165" s="10" t="n">
        <v>0.134</v>
      </c>
      <c r="M165" s="9" t="n">
        <v>1.586</v>
      </c>
      <c r="N165" s="10" t="n">
        <v>0.112</v>
      </c>
      <c r="O165" s="10" t="n">
        <v>0.644</v>
      </c>
      <c r="P165" s="10" t="n">
        <v>-0.006</v>
      </c>
      <c r="Q165" s="10" t="n">
        <v>0.081</v>
      </c>
    </row>
    <row r="166">
      <c r="A166" s="3" t="inlineStr">
        <is>
          <t>Utilities</t>
        </is>
      </c>
      <c r="B166" s="4" t="n">
        <v>2017</v>
      </c>
      <c r="C166" s="5" t="n">
        <v>9.317</v>
      </c>
      <c r="D166" s="5" t="n">
        <v>8.855</v>
      </c>
      <c r="E166" s="5" t="n">
        <v>2.376</v>
      </c>
      <c r="F166" s="5" t="n">
        <v>0.038</v>
      </c>
      <c r="G166" s="6" t="n">
        <v>0.045</v>
      </c>
      <c r="H166" s="6" t="n">
        <v>0.022</v>
      </c>
      <c r="I166" s="6" t="n">
        <v>0.039</v>
      </c>
      <c r="J166" s="6" t="n">
        <v>0.444</v>
      </c>
      <c r="K166" s="5" t="n">
        <v>1.125</v>
      </c>
      <c r="L166" s="6" t="n">
        <v>0.134</v>
      </c>
      <c r="M166" s="5" t="n">
        <v>1.406</v>
      </c>
      <c r="N166" s="6" t="n">
        <v>0.1</v>
      </c>
      <c r="O166" s="6" t="n">
        <v>0.643</v>
      </c>
      <c r="P166" s="6" t="n">
        <v>0.048</v>
      </c>
      <c r="Q166" s="6" t="n">
        <v>0.02</v>
      </c>
    </row>
    <row r="167">
      <c r="A167" s="7" t="inlineStr">
        <is>
          <t>Utilities</t>
        </is>
      </c>
      <c r="B167" s="8" t="n">
        <v>2018</v>
      </c>
      <c r="C167" s="9" t="n">
        <v>13.404</v>
      </c>
      <c r="D167" s="9" t="n">
        <v>7.842</v>
      </c>
      <c r="E167" s="9" t="n">
        <v>1.653</v>
      </c>
      <c r="F167" s="9" t="n">
        <v>1.106</v>
      </c>
      <c r="G167" s="10" t="n">
        <v>0.045</v>
      </c>
      <c r="H167" s="10" t="n">
        <v>0.021</v>
      </c>
      <c r="I167" s="10" t="n">
        <v>0.045</v>
      </c>
      <c r="J167" s="10" t="n">
        <v>0.753</v>
      </c>
      <c r="K167" s="9" t="n">
        <v>1.007</v>
      </c>
      <c r="L167" s="10" t="n">
        <v>0.12</v>
      </c>
      <c r="M167" s="9" t="n">
        <v>1.414</v>
      </c>
      <c r="N167" s="10" t="n">
        <v>0.118</v>
      </c>
      <c r="O167" s="10" t="n">
        <v>0.252</v>
      </c>
      <c r="P167" s="10" t="n">
        <v>0.038</v>
      </c>
      <c r="Q167" s="10" t="n">
        <v>-0.221</v>
      </c>
    </row>
    <row r="168">
      <c r="A168" s="3" t="inlineStr">
        <is>
          <t>Utilities</t>
        </is>
      </c>
      <c r="B168" s="4" t="n">
        <v>2019</v>
      </c>
      <c r="C168" s="5" t="n">
        <v>10.812</v>
      </c>
      <c r="D168" s="5" t="n">
        <v>10.71</v>
      </c>
      <c r="E168" s="5" t="n">
        <v>2.037</v>
      </c>
      <c r="F168" s="5" t="n">
        <v>0.108</v>
      </c>
      <c r="G168" s="6" t="n">
        <v>0.04</v>
      </c>
      <c r="H168" s="6" t="n">
        <v>-0.004</v>
      </c>
      <c r="I168" s="6" t="n">
        <v>0.047</v>
      </c>
      <c r="J168" s="6" t="n">
        <v>0.672</v>
      </c>
      <c r="K168" s="5" t="n">
        <v>0.961</v>
      </c>
      <c r="L168" s="6" t="n">
        <v>0.08500000000000001</v>
      </c>
      <c r="M168" s="5" t="n">
        <v>1.485</v>
      </c>
      <c r="N168" s="6" t="n">
        <v>0.101</v>
      </c>
      <c r="O168" s="6" t="n">
        <v>0.335</v>
      </c>
      <c r="P168" s="6" t="n">
        <v>0.048</v>
      </c>
      <c r="Q168" s="6" t="n">
        <v>0.025</v>
      </c>
    </row>
    <row r="169">
      <c r="A169" s="7" t="inlineStr">
        <is>
          <t>Utilities</t>
        </is>
      </c>
      <c r="B169" s="8" t="n">
        <v>2020</v>
      </c>
      <c r="C169" s="9" t="n">
        <v>21.993</v>
      </c>
      <c r="D169" s="9" t="n">
        <v>12.74</v>
      </c>
      <c r="E169" s="9" t="n">
        <v>3.223</v>
      </c>
      <c r="F169" s="9" t="n">
        <v>0.063</v>
      </c>
      <c r="G169" s="10" t="n">
        <v>0.027</v>
      </c>
      <c r="H169" s="10" t="n">
        <v>0.003</v>
      </c>
      <c r="I169" s="10" t="n">
        <v>0.042</v>
      </c>
      <c r="J169" s="10" t="n">
        <v>0.706</v>
      </c>
      <c r="K169" s="9" t="n">
        <v>0.955</v>
      </c>
      <c r="L169" s="10" t="n">
        <v>0.043</v>
      </c>
      <c r="M169" s="9" t="n">
        <v>1.574</v>
      </c>
      <c r="N169" s="10" t="n">
        <v>0.038</v>
      </c>
      <c r="O169" s="10" t="n">
        <v>0.268</v>
      </c>
      <c r="P169" s="10" t="n">
        <v>-0.017</v>
      </c>
      <c r="Q169" s="10" t="n">
        <v>-0.163</v>
      </c>
    </row>
    <row r="170">
      <c r="A170" s="3" t="inlineStr">
        <is>
          <t>Utilities</t>
        </is>
      </c>
      <c r="B170" s="4" t="n">
        <v>2021</v>
      </c>
      <c r="C170" s="5" t="n">
        <v>7.121</v>
      </c>
      <c r="D170" s="5" t="n">
        <v>6.927</v>
      </c>
      <c r="E170" s="5" t="n">
        <v>1.764</v>
      </c>
      <c r="F170" s="5" t="n">
        <v>0.004</v>
      </c>
      <c r="G170" s="6" t="n">
        <v>0.025</v>
      </c>
      <c r="H170" s="6" t="n">
        <v>0.011</v>
      </c>
      <c r="I170" s="6" t="n">
        <v>0.037</v>
      </c>
      <c r="J170" s="6" t="n">
        <v>0.334</v>
      </c>
      <c r="K170" s="5" t="n">
        <v>1.061</v>
      </c>
      <c r="L170" s="6" t="n">
        <v>0.068</v>
      </c>
      <c r="M170" s="5" t="n">
        <v>0.956</v>
      </c>
      <c r="N170" s="6" t="n">
        <v>0.04</v>
      </c>
      <c r="O170" s="6" t="n">
        <v>0.292</v>
      </c>
      <c r="P170" s="6" t="n">
        <v>0.05</v>
      </c>
      <c r="Q170" s="6" t="n">
        <v>0.089</v>
      </c>
    </row>
    <row r="171">
      <c r="A171" s="7" t="inlineStr">
        <is>
          <t>Utilities</t>
        </is>
      </c>
      <c r="B171" s="8" t="n">
        <v>2022</v>
      </c>
      <c r="C171" s="9" t="n">
        <v>16.359</v>
      </c>
      <c r="D171" s="9" t="n">
        <v>10.424</v>
      </c>
      <c r="E171" s="9" t="n">
        <v>2.593</v>
      </c>
      <c r="F171" s="9" t="n">
        <v>0.031</v>
      </c>
      <c r="G171" s="10" t="n">
        <v>0.034</v>
      </c>
      <c r="H171" s="10" t="n">
        <v>0.008</v>
      </c>
      <c r="I171" s="10" t="n">
        <v>0.027</v>
      </c>
      <c r="J171" s="10" t="n">
        <v>0</v>
      </c>
      <c r="K171" s="9" t="n">
        <v>1.435</v>
      </c>
      <c r="L171" s="10" t="n">
        <v>-0.004</v>
      </c>
      <c r="M171" s="9" t="n">
        <v>0.952</v>
      </c>
      <c r="N171" s="10" t="n">
        <v>0.014</v>
      </c>
      <c r="O171" s="10" t="n">
        <v>0.339</v>
      </c>
      <c r="P171" s="10" t="n">
        <v>0.27</v>
      </c>
      <c r="Q171" s="10" t="n">
        <v>0.382</v>
      </c>
    </row>
    <row r="172">
      <c r="A172" s="3" t="inlineStr">
        <is>
          <t>Utilities</t>
        </is>
      </c>
      <c r="B172" s="4" t="n">
        <v>2023</v>
      </c>
      <c r="C172" s="5" t="n">
        <v>1.559</v>
      </c>
      <c r="D172" s="5" t="n">
        <v>3.331</v>
      </c>
      <c r="E172" s="5" t="n">
        <v>1.582</v>
      </c>
      <c r="F172" s="5" t="n">
        <v>0.012</v>
      </c>
      <c r="G172" s="6" t="n">
        <v>0.039</v>
      </c>
      <c r="H172" s="6" t="n">
        <v>-0.019</v>
      </c>
      <c r="I172" s="6" t="n">
        <v>0.036</v>
      </c>
      <c r="J172" s="6" t="n">
        <v>0.047</v>
      </c>
      <c r="K172" s="5" t="n">
        <v>1.245</v>
      </c>
      <c r="L172" s="6" t="n">
        <v>0.082</v>
      </c>
      <c r="M172" s="5" t="n">
        <v>0.792</v>
      </c>
      <c r="N172" s="6" t="n">
        <v>0.067</v>
      </c>
      <c r="O172" s="6" t="n">
        <v>0.346</v>
      </c>
      <c r="P172" s="6" t="n">
        <v>0.034</v>
      </c>
      <c r="Q172" s="6" t="n">
        <v>0.038</v>
      </c>
    </row>
    <row r="173">
      <c r="A173" s="7" t="inlineStr">
        <is>
          <t>Utilities</t>
        </is>
      </c>
      <c r="B173" s="8" t="n">
        <v>2024</v>
      </c>
      <c r="C173" s="9" t="n">
        <v>4.715</v>
      </c>
      <c r="D173" s="9" t="n">
        <v>3.102</v>
      </c>
      <c r="E173" s="9" t="n">
        <v>1.567</v>
      </c>
      <c r="F173" s="9" t="n">
        <v>2.339</v>
      </c>
      <c r="G173" s="10" t="n">
        <v>0.025</v>
      </c>
      <c r="H173" s="10" t="n">
        <v>-0.003</v>
      </c>
      <c r="I173" s="10" t="n">
        <v>0.043</v>
      </c>
      <c r="J173" s="10" t="n">
        <v>0.164</v>
      </c>
      <c r="K173" s="9" t="n">
        <v>1.339</v>
      </c>
      <c r="L173" s="10" t="n">
        <v>0.076</v>
      </c>
      <c r="M173" s="9" t="n">
        <v>0.775</v>
      </c>
      <c r="N173" s="10" t="n">
        <v>0.065</v>
      </c>
      <c r="O173" s="10" t="n">
        <v>0.416</v>
      </c>
      <c r="P173" s="10" t="n">
        <v>0.06900000000000001</v>
      </c>
      <c r="Q173" s="10" t="n">
        <v>0.063</v>
      </c>
    </row>
    <row r="174">
      <c r="A174" s="3" t="inlineStr">
        <is>
          <t>Utilities</t>
        </is>
      </c>
      <c r="B174" s="4" t="n">
        <v>2025</v>
      </c>
      <c r="C174" s="5" t="n">
        <v>11.227</v>
      </c>
      <c r="D174" s="5" t="n">
        <v>10.895</v>
      </c>
      <c r="E174" s="5" t="n">
        <v>2.041</v>
      </c>
      <c r="F174" s="5" t="n">
        <v>0.448</v>
      </c>
      <c r="G174" s="6" t="n">
        <v>0.034</v>
      </c>
      <c r="H174" s="6" t="n">
        <v>-0.024</v>
      </c>
      <c r="I174" s="6" t="n">
        <v>0.043</v>
      </c>
      <c r="J174" s="6" t="n">
        <v>0.432</v>
      </c>
      <c r="K174" s="5" t="n">
        <v>1.366</v>
      </c>
      <c r="L174" s="6" t="n">
        <v>0.08799999999999999</v>
      </c>
      <c r="M174" s="5" t="n">
        <v>1.133</v>
      </c>
      <c r="N174" s="6" t="n">
        <v>0.073</v>
      </c>
      <c r="O174" s="6" t="n">
        <v>0.653</v>
      </c>
      <c r="P174" s="6" t="n">
        <v>0.008</v>
      </c>
      <c r="Q174" s="6" t="n">
        <v>0.169</v>
      </c>
    </row>
    <row r="175">
      <c r="A175" s="7" t="inlineStr">
        <is>
          <t>Utilities</t>
        </is>
      </c>
      <c r="B175" s="8" t="n">
        <v>2026</v>
      </c>
      <c r="C175" s="9" t="n">
        <v>21.982</v>
      </c>
      <c r="D175" s="9" t="n">
        <v>13.434</v>
      </c>
      <c r="E175" s="9" t="n">
        <v>3.174</v>
      </c>
      <c r="F175" s="9" t="n">
        <v>0.268</v>
      </c>
      <c r="G175" s="10" t="n">
        <v>0.045</v>
      </c>
      <c r="H175" s="10" t="n">
        <v>-0.042</v>
      </c>
      <c r="I175" s="10" t="n">
        <v>0.033</v>
      </c>
      <c r="J175" s="10" t="n">
        <v>0.584</v>
      </c>
      <c r="K175" s="9" t="n">
        <v>1.294</v>
      </c>
      <c r="L175" s="10" t="n">
        <v>0.148</v>
      </c>
      <c r="M175" s="9" t="n">
        <v>3.158</v>
      </c>
      <c r="N175" s="10" t="n">
        <v>0.157</v>
      </c>
      <c r="O175" s="10" t="n">
        <v>0.354</v>
      </c>
      <c r="P175" s="10" t="n">
        <v>0.08599999999999999</v>
      </c>
      <c r="Q175" s="10" t="n">
        <v>0.367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3" customWidth="1" min="5" max="5"/>
    <col width="20" customWidth="1" min="6" max="6"/>
    <col width="22" customWidth="1" min="7" max="7"/>
    <col width="3" customWidth="1" min="8" max="8"/>
  </cols>
  <sheetData>
    <row r="2" ht="36" customHeight="1">
      <c r="B2" s="11" t="inlineStr">
        <is>
          <t>SECTOR MEDIANS  |  Interactive Dashboard Controls</t>
        </is>
      </c>
    </row>
    <row r="4" ht="24" customHeight="1">
      <c r="B4" s="12" t="inlineStr">
        <is>
          <t>CHART 1: Metric Over Time (by Sector)</t>
        </is>
      </c>
      <c r="F4" s="12" t="inlineStr">
        <is>
          <t>CHART 2: All Sectors Snapshot (by Year)</t>
        </is>
      </c>
    </row>
    <row r="6">
      <c r="B6" s="13" t="inlineStr">
        <is>
          <t>Select Sector:</t>
        </is>
      </c>
      <c r="C6" s="14" t="inlineStr">
        <is>
          <t>Basic Materials</t>
        </is>
      </c>
      <c r="F6" s="13" t="inlineStr">
        <is>
          <t>Select Year:</t>
        </is>
      </c>
      <c r="G6" s="14" t="inlineStr">
        <is>
          <t>2024</t>
        </is>
      </c>
    </row>
    <row r="8">
      <c r="B8" s="13" t="inlineStr">
        <is>
          <t>Select Metric:</t>
        </is>
      </c>
      <c r="C8" s="14" t="inlineStr">
        <is>
          <t>PE Ratio</t>
        </is>
      </c>
      <c r="F8" s="13" t="inlineStr">
        <is>
          <t>Select Metric:</t>
        </is>
      </c>
      <c r="G8" s="14" t="inlineStr">
        <is>
          <t>PE Ratio</t>
        </is>
      </c>
    </row>
    <row r="11">
      <c r="B11" s="13" t="inlineStr">
        <is>
          <t>HOW TO USE:</t>
        </is>
      </c>
    </row>
    <row r="12">
      <c r="B12" s="15" t="inlineStr">
        <is>
          <t>1.  Use the dropdowns above to select sector, year, and metric.</t>
        </is>
      </c>
    </row>
    <row r="13">
      <c r="B13" s="15" t="inlineStr">
        <is>
          <t>2.  Navigate to the ACROSS_YEARS sheet to see the time-series line chart.</t>
        </is>
      </c>
    </row>
    <row r="14">
      <c r="B14" s="15" t="inlineStr">
        <is>
          <t>3.  Navigate to the ACROSS_SECTORS sheet to see the sector comparison bar chart.</t>
        </is>
      </c>
    </row>
    <row r="15">
      <c r="B15" s="15" t="inlineStr">
        <is>
          <t>4.  Charts update automatically when you change a selection above.</t>
        </is>
      </c>
    </row>
    <row r="16">
      <c r="B16" s="15" t="inlineStr"/>
    </row>
    <row r="17">
      <c r="B17" s="15" t="inlineStr">
        <is>
          <t>Note: Charts are powered by helper tables on each chart sheet that use</t>
        </is>
      </c>
    </row>
    <row r="18">
      <c r="B18" s="15" t="inlineStr">
        <is>
          <t xml:space="preserve">      IFERROR/SUMPRODUCT formulas — no macros or VBA required.</t>
        </is>
      </c>
    </row>
  </sheetData>
  <mergeCells count="3">
    <mergeCell ref="F4:H4"/>
    <mergeCell ref="B2:H2"/>
    <mergeCell ref="B4:D4"/>
  </mergeCells>
  <dataValidations count="4">
    <dataValidation sqref="C6" showDropDown="0" showInputMessage="0" showErrorMessage="0" allowBlank="0" type="list">
      <formula1>"Basic Materials,Communication Services,Consumer Cyclical,Consumer Defensive,Energy,Financial Services,Healthcare,Industrials,Real Estate,Technology,Utilities"</formula1>
    </dataValidation>
    <dataValidation sqref="C8" showDropDown="0" showInputMessage="0" showErrorMessage="0" allowBlank="0" type="list">
      <formula1>"PE Ratio,EV/EBITDA,Price-to-Book,PEG Ratio,ROIC,FCF Yield,Dividend Yield,Payout Ratio,Current Ratio,ROE,Debt/Equity,Net Profit Margin,Gross Margin,Revenue Growth,Net Income Growth"</formula1>
    </dataValidation>
    <dataValidation sqref="G6" showDropDown="0" showInputMessage="0" showErrorMessage="0" allowBlank="0" type="list">
      <formula1>"2011,2012,2013,2014,2015,2016,2017,2018,2019,2020,2021,2022,2023,2024,2025,2026"</formula1>
    </dataValidation>
    <dataValidation sqref="G8" showDropDown="0" showInputMessage="0" showErrorMessage="0" allowBlank="0" type="list">
      <formula1>"PE Ratio,EV/EBITDA,Price-to-Book,PEG Ratio,ROIC,FCF Yield,Dividend Yield,Payout Ratio,Current Ratio,ROE,Debt/Equity,Net Profit Margin,Gross Margin,Revenue Growth,Net Income Growth"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 ht="28" customHeight="1">
      <c r="A1" s="16" t="inlineStr">
        <is>
          <t>Sector Medians Over Time</t>
        </is>
      </c>
    </row>
    <row r="2" ht="8" customHeight="1"/>
    <row r="3">
      <c r="A3" s="17" t="inlineStr">
        <is>
          <t>→ Change selections on CONTROL sheet to update this chart</t>
        </is>
      </c>
    </row>
    <row r="4">
      <c r="A4" s="18" t="inlineStr">
        <is>
          <t>Sector:</t>
        </is>
      </c>
      <c r="B4" s="19">
        <f>CONTROL!C6</f>
        <v/>
      </c>
      <c r="C4" s="18" t="inlineStr">
        <is>
          <t>Metric:</t>
        </is>
      </c>
      <c r="D4" s="19">
        <f>CONTROL!C8</f>
        <v/>
      </c>
    </row>
    <row r="7">
      <c r="A7" s="20" t="inlineStr">
        <is>
          <t>Year</t>
        </is>
      </c>
      <c r="B7" s="21" t="inlineStr">
        <is>
          <t>Value</t>
        </is>
      </c>
    </row>
    <row r="8">
      <c r="A8" s="22" t="n">
        <v>2011</v>
      </c>
      <c r="B8" s="23">
        <f>IFERROR(SUMPRODUCT((DATA!$A$2:$A$175=CONTROL!$C$6)*(DATA!$B$2:$B$175=2011)*INDEX(DATA!$C$2:$Q$175,0,MATCH(CONTROL!$C$8,DATA!$C$1:$Q$1,0))),"")</f>
        <v/>
      </c>
    </row>
    <row r="9">
      <c r="A9" s="22" t="n">
        <v>2012</v>
      </c>
      <c r="B9" s="24">
        <f>IFERROR(SUMPRODUCT((DATA!$A$2:$A$175=CONTROL!$C$6)*(DATA!$B$2:$B$175=2012)*INDEX(DATA!$C$2:$Q$175,0,MATCH(CONTROL!$C$8,DATA!$C$1:$Q$1,0))),"")</f>
        <v/>
      </c>
    </row>
    <row r="10">
      <c r="A10" s="22" t="n">
        <v>2013</v>
      </c>
      <c r="B10" s="23">
        <f>IFERROR(SUMPRODUCT((DATA!$A$2:$A$175=CONTROL!$C$6)*(DATA!$B$2:$B$175=2013)*INDEX(DATA!$C$2:$Q$175,0,MATCH(CONTROL!$C$8,DATA!$C$1:$Q$1,0))),"")</f>
        <v/>
      </c>
    </row>
    <row r="11">
      <c r="A11" s="22" t="n">
        <v>2014</v>
      </c>
      <c r="B11" s="24">
        <f>IFERROR(SUMPRODUCT((DATA!$A$2:$A$175=CONTROL!$C$6)*(DATA!$B$2:$B$175=2014)*INDEX(DATA!$C$2:$Q$175,0,MATCH(CONTROL!$C$8,DATA!$C$1:$Q$1,0))),"")</f>
        <v/>
      </c>
    </row>
    <row r="12">
      <c r="A12" s="22" t="n">
        <v>2015</v>
      </c>
      <c r="B12" s="23">
        <f>IFERROR(SUMPRODUCT((DATA!$A$2:$A$175=CONTROL!$C$6)*(DATA!$B$2:$B$175=2015)*INDEX(DATA!$C$2:$Q$175,0,MATCH(CONTROL!$C$8,DATA!$C$1:$Q$1,0))),"")</f>
        <v/>
      </c>
    </row>
    <row r="13">
      <c r="A13" s="22" t="n">
        <v>2016</v>
      </c>
      <c r="B13" s="24">
        <f>IFERROR(SUMPRODUCT((DATA!$A$2:$A$175=CONTROL!$C$6)*(DATA!$B$2:$B$175=2016)*INDEX(DATA!$C$2:$Q$175,0,MATCH(CONTROL!$C$8,DATA!$C$1:$Q$1,0))),"")</f>
        <v/>
      </c>
    </row>
    <row r="14">
      <c r="A14" s="22" t="n">
        <v>2017</v>
      </c>
      <c r="B14" s="23">
        <f>IFERROR(SUMPRODUCT((DATA!$A$2:$A$175=CONTROL!$C$6)*(DATA!$B$2:$B$175=2017)*INDEX(DATA!$C$2:$Q$175,0,MATCH(CONTROL!$C$8,DATA!$C$1:$Q$1,0))),"")</f>
        <v/>
      </c>
    </row>
    <row r="15">
      <c r="A15" s="22" t="n">
        <v>2018</v>
      </c>
      <c r="B15" s="24">
        <f>IFERROR(SUMPRODUCT((DATA!$A$2:$A$175=CONTROL!$C$6)*(DATA!$B$2:$B$175=2018)*INDEX(DATA!$C$2:$Q$175,0,MATCH(CONTROL!$C$8,DATA!$C$1:$Q$1,0))),"")</f>
        <v/>
      </c>
    </row>
    <row r="16">
      <c r="A16" s="22" t="n">
        <v>2019</v>
      </c>
      <c r="B16" s="23">
        <f>IFERROR(SUMPRODUCT((DATA!$A$2:$A$175=CONTROL!$C$6)*(DATA!$B$2:$B$175=2019)*INDEX(DATA!$C$2:$Q$175,0,MATCH(CONTROL!$C$8,DATA!$C$1:$Q$1,0))),"")</f>
        <v/>
      </c>
    </row>
    <row r="17">
      <c r="A17" s="22" t="n">
        <v>2020</v>
      </c>
      <c r="B17" s="24">
        <f>IFERROR(SUMPRODUCT((DATA!$A$2:$A$175=CONTROL!$C$6)*(DATA!$B$2:$B$175=2020)*INDEX(DATA!$C$2:$Q$175,0,MATCH(CONTROL!$C$8,DATA!$C$1:$Q$1,0))),"")</f>
        <v/>
      </c>
    </row>
    <row r="18">
      <c r="A18" s="22" t="n">
        <v>2021</v>
      </c>
      <c r="B18" s="23">
        <f>IFERROR(SUMPRODUCT((DATA!$A$2:$A$175=CONTROL!$C$6)*(DATA!$B$2:$B$175=2021)*INDEX(DATA!$C$2:$Q$175,0,MATCH(CONTROL!$C$8,DATA!$C$1:$Q$1,0))),"")</f>
        <v/>
      </c>
    </row>
    <row r="19">
      <c r="A19" s="22" t="n">
        <v>2022</v>
      </c>
      <c r="B19" s="24">
        <f>IFERROR(SUMPRODUCT((DATA!$A$2:$A$175=CONTROL!$C$6)*(DATA!$B$2:$B$175=2022)*INDEX(DATA!$C$2:$Q$175,0,MATCH(CONTROL!$C$8,DATA!$C$1:$Q$1,0))),"")</f>
        <v/>
      </c>
    </row>
    <row r="20">
      <c r="A20" s="22" t="n">
        <v>2023</v>
      </c>
      <c r="B20" s="23">
        <f>IFERROR(SUMPRODUCT((DATA!$A$2:$A$175=CONTROL!$C$6)*(DATA!$B$2:$B$175=2023)*INDEX(DATA!$C$2:$Q$175,0,MATCH(CONTROL!$C$8,DATA!$C$1:$Q$1,0))),"")</f>
        <v/>
      </c>
    </row>
    <row r="21">
      <c r="A21" s="22" t="n">
        <v>2024</v>
      </c>
      <c r="B21" s="24">
        <f>IFERROR(SUMPRODUCT((DATA!$A$2:$A$175=CONTROL!$C$6)*(DATA!$B$2:$B$175=2024)*INDEX(DATA!$C$2:$Q$175,0,MATCH(CONTROL!$C$8,DATA!$C$1:$Q$1,0))),"")</f>
        <v/>
      </c>
    </row>
    <row r="22">
      <c r="A22" s="22" t="n">
        <v>2025</v>
      </c>
      <c r="B22" s="23">
        <f>IFERROR(SUMPRODUCT((DATA!$A$2:$A$175=CONTROL!$C$6)*(DATA!$B$2:$B$175=2025)*INDEX(DATA!$C$2:$Q$175,0,MATCH(CONTROL!$C$8,DATA!$C$1:$Q$1,0))),"")</f>
        <v/>
      </c>
    </row>
    <row r="23">
      <c r="A23" s="22" t="n">
        <v>2026</v>
      </c>
      <c r="B23" s="24">
        <f>IFERROR(SUMPRODUCT((DATA!$A$2:$A$175=CONTROL!$C$6)*(DATA!$B$2:$B$175=2026)*INDEX(DATA!$C$2:$Q$175,0,MATCH(CONTROL!$C$8,DATA!$C$1:$Q$1,0))),"")</f>
        <v/>
      </c>
    </row>
  </sheetData>
  <mergeCells count="2">
    <mergeCell ref="A1:D2"/>
    <mergeCell ref="A3:D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28" customHeight="1">
      <c r="A1" s="16" t="inlineStr">
        <is>
          <t>Sector Medians — Cross-Sectional Snapshot</t>
        </is>
      </c>
    </row>
    <row r="2" ht="8" customHeight="1"/>
    <row r="3">
      <c r="A3" s="17" t="inlineStr">
        <is>
          <t>→ Change selections on CONTROL sheet to update this chart</t>
        </is>
      </c>
    </row>
    <row r="4">
      <c r="A4" s="18" t="inlineStr">
        <is>
          <t>Year:</t>
        </is>
      </c>
      <c r="B4" s="19">
        <f>CONTROL!G6</f>
        <v/>
      </c>
      <c r="C4" s="18" t="inlineStr">
        <is>
          <t>Metric:</t>
        </is>
      </c>
      <c r="D4" s="19">
        <f>CONTROL!G8</f>
        <v/>
      </c>
    </row>
    <row r="7">
      <c r="A7" s="25" t="inlineStr">
        <is>
          <t>Sector</t>
        </is>
      </c>
      <c r="B7" s="25" t="inlineStr">
        <is>
          <t>Value</t>
        </is>
      </c>
    </row>
    <row r="8">
      <c r="A8" s="26" t="inlineStr">
        <is>
          <t>Basic Materials</t>
        </is>
      </c>
      <c r="B8" s="23">
        <f>IFERROR(SUMPRODUCT((DATA!$A$2:$A$175="Basic Materials")*(DATA!$B$2:$B$175=VALUE(CONTROL!$G$6))*INDEX(DATA!$C$2:$Q$175,0,MATCH(CONTROL!$G$8,DATA!$C$1:$Q$1,0))),"")</f>
        <v/>
      </c>
    </row>
    <row r="9">
      <c r="A9" s="27" t="inlineStr">
        <is>
          <t>Communication Services</t>
        </is>
      </c>
      <c r="B9" s="24">
        <f>IFERROR(SUMPRODUCT((DATA!$A$2:$A$175="Communication Services")*(DATA!$B$2:$B$175=VALUE(CONTROL!$G$6))*INDEX(DATA!$C$2:$Q$175,0,MATCH(CONTROL!$G$8,DATA!$C$1:$Q$1,0))),"")</f>
        <v/>
      </c>
    </row>
    <row r="10">
      <c r="A10" s="26" t="inlineStr">
        <is>
          <t>Consumer Cyclical</t>
        </is>
      </c>
      <c r="B10" s="23">
        <f>IFERROR(SUMPRODUCT((DATA!$A$2:$A$175="Consumer Cyclical")*(DATA!$B$2:$B$175=VALUE(CONTROL!$G$6))*INDEX(DATA!$C$2:$Q$175,0,MATCH(CONTROL!$G$8,DATA!$C$1:$Q$1,0))),"")</f>
        <v/>
      </c>
    </row>
    <row r="11">
      <c r="A11" s="27" t="inlineStr">
        <is>
          <t>Consumer Defensive</t>
        </is>
      </c>
      <c r="B11" s="24">
        <f>IFERROR(SUMPRODUCT((DATA!$A$2:$A$175="Consumer Defensive")*(DATA!$B$2:$B$175=VALUE(CONTROL!$G$6))*INDEX(DATA!$C$2:$Q$175,0,MATCH(CONTROL!$G$8,DATA!$C$1:$Q$1,0))),"")</f>
        <v/>
      </c>
    </row>
    <row r="12">
      <c r="A12" s="26" t="inlineStr">
        <is>
          <t>Energy</t>
        </is>
      </c>
      <c r="B12" s="23">
        <f>IFERROR(SUMPRODUCT((DATA!$A$2:$A$175="Energy")*(DATA!$B$2:$B$175=VALUE(CONTROL!$G$6))*INDEX(DATA!$C$2:$Q$175,0,MATCH(CONTROL!$G$8,DATA!$C$1:$Q$1,0))),"")</f>
        <v/>
      </c>
    </row>
    <row r="13">
      <c r="A13" s="27" t="inlineStr">
        <is>
          <t>Financial Services</t>
        </is>
      </c>
      <c r="B13" s="24">
        <f>IFERROR(SUMPRODUCT((DATA!$A$2:$A$175="Financial Services")*(DATA!$B$2:$B$175=VALUE(CONTROL!$G$6))*INDEX(DATA!$C$2:$Q$175,0,MATCH(CONTROL!$G$8,DATA!$C$1:$Q$1,0))),"")</f>
        <v/>
      </c>
    </row>
    <row r="14">
      <c r="A14" s="26" t="inlineStr">
        <is>
          <t>Healthcare</t>
        </is>
      </c>
      <c r="B14" s="23">
        <f>IFERROR(SUMPRODUCT((DATA!$A$2:$A$175="Healthcare")*(DATA!$B$2:$B$175=VALUE(CONTROL!$G$6))*INDEX(DATA!$C$2:$Q$175,0,MATCH(CONTROL!$G$8,DATA!$C$1:$Q$1,0))),"")</f>
        <v/>
      </c>
    </row>
    <row r="15">
      <c r="A15" s="27" t="inlineStr">
        <is>
          <t>Industrials</t>
        </is>
      </c>
      <c r="B15" s="24">
        <f>IFERROR(SUMPRODUCT((DATA!$A$2:$A$175="Industrials")*(DATA!$B$2:$B$175=VALUE(CONTROL!$G$6))*INDEX(DATA!$C$2:$Q$175,0,MATCH(CONTROL!$G$8,DATA!$C$1:$Q$1,0))),"")</f>
        <v/>
      </c>
    </row>
    <row r="16">
      <c r="A16" s="26" t="inlineStr">
        <is>
          <t>Real Estate</t>
        </is>
      </c>
      <c r="B16" s="23">
        <f>IFERROR(SUMPRODUCT((DATA!$A$2:$A$175="Real Estate")*(DATA!$B$2:$B$175=VALUE(CONTROL!$G$6))*INDEX(DATA!$C$2:$Q$175,0,MATCH(CONTROL!$G$8,DATA!$C$1:$Q$1,0))),"")</f>
        <v/>
      </c>
    </row>
    <row r="17">
      <c r="A17" s="27" t="inlineStr">
        <is>
          <t>Technology</t>
        </is>
      </c>
      <c r="B17" s="24">
        <f>IFERROR(SUMPRODUCT((DATA!$A$2:$A$175="Technology")*(DATA!$B$2:$B$175=VALUE(CONTROL!$G$6))*INDEX(DATA!$C$2:$Q$175,0,MATCH(CONTROL!$G$8,DATA!$C$1:$Q$1,0))),"")</f>
        <v/>
      </c>
    </row>
    <row r="18">
      <c r="A18" s="26" t="inlineStr">
        <is>
          <t>Utilities</t>
        </is>
      </c>
      <c r="B18" s="23">
        <f>IFERROR(SUMPRODUCT((DATA!$A$2:$A$175="Utilities")*(DATA!$B$2:$B$175=VALUE(CONTROL!$G$6))*INDEX(DATA!$C$2:$Q$175,0,MATCH(CONTROL!$G$8,DATA!$C$1:$Q$1,0))),"")</f>
        <v/>
      </c>
    </row>
  </sheetData>
  <mergeCells count="2">
    <mergeCell ref="A3:F3"/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2026-05-30T18:36:43Z</dcterms:created>
  <dcterms:modified xmlns:dcterms="http://purl.org/dc/terms/" xmlns:xsi="http://www.w3.org/2001/XMLSchema-instance" xsi:type="dcterms:W3CDTF">2026-05-30T18:36:43Z</dcterms:modified>
</cp:coreProperties>
</file>