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nidsc/PyCharmMiscProject/Financial Analysis/"/>
    </mc:Choice>
  </mc:AlternateContent>
  <xr:revisionPtr revIDLastSave="0" documentId="8_{104DD0D6-59DD-5E46-B8F5-F02F48BBE107}" xr6:coauthVersionLast="47" xr6:coauthVersionMax="47" xr10:uidLastSave="{00000000-0000-0000-0000-000000000000}"/>
  <bookViews>
    <workbookView xWindow="0" yWindow="740" windowWidth="29400" windowHeight="18380" activeTab="5" xr2:uid="{00000000-000D-0000-FFFF-FFFF00000000}"/>
  </bookViews>
  <sheets>
    <sheet name="1 - Cover" sheetId="1" r:id="rId1"/>
    <sheet name="2 - Assumptions and Notes" sheetId="2" r:id="rId2"/>
    <sheet name="3 - Income Statement" sheetId="3" r:id="rId3"/>
    <sheet name="4 - Balance Sheet" sheetId="4" r:id="rId4"/>
    <sheet name="5 - Cashflow Statement" sheetId="5" r:id="rId5"/>
    <sheet name="6 - Supporting Schedul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 i="6" l="1"/>
  <c r="G26" i="6"/>
  <c r="F26" i="6"/>
  <c r="E26" i="6"/>
  <c r="D26" i="6"/>
  <c r="I25" i="6"/>
  <c r="J22" i="6" s="1"/>
  <c r="J25" i="6" s="1"/>
  <c r="D25" i="6"/>
  <c r="E22" i="6" s="1"/>
  <c r="E25" i="6" s="1"/>
  <c r="D19" i="6"/>
  <c r="E16" i="6" s="1"/>
  <c r="H13" i="6"/>
  <c r="H12" i="6"/>
  <c r="G12" i="6"/>
  <c r="F12" i="6"/>
  <c r="G13" i="6" s="1"/>
  <c r="E12" i="6"/>
  <c r="D12" i="6"/>
  <c r="E13" i="6" s="1"/>
  <c r="D27" i="5"/>
  <c r="E26" i="5"/>
  <c r="H23" i="5"/>
  <c r="G23" i="5"/>
  <c r="F23" i="5"/>
  <c r="E23" i="5"/>
  <c r="D23" i="5"/>
  <c r="M21" i="5"/>
  <c r="L21" i="5"/>
  <c r="K21" i="5"/>
  <c r="K23" i="5" s="1"/>
  <c r="J21" i="5"/>
  <c r="I21" i="5"/>
  <c r="I23" i="5" s="1"/>
  <c r="M20" i="5"/>
  <c r="M23" i="5" s="1"/>
  <c r="L20" i="5"/>
  <c r="L23" i="5" s="1"/>
  <c r="K20" i="5"/>
  <c r="J20" i="5"/>
  <c r="J23" i="5" s="1"/>
  <c r="I20" i="5"/>
  <c r="H18" i="5"/>
  <c r="G18" i="5"/>
  <c r="G25" i="5" s="1"/>
  <c r="F18" i="5"/>
  <c r="E18" i="5"/>
  <c r="E25" i="5" s="1"/>
  <c r="E27" i="5" s="1"/>
  <c r="F26" i="5" s="1"/>
  <c r="D18" i="5"/>
  <c r="H14" i="5"/>
  <c r="H25" i="5" s="1"/>
  <c r="G14" i="5"/>
  <c r="F14" i="5"/>
  <c r="F25" i="5" s="1"/>
  <c r="F27" i="5" s="1"/>
  <c r="G26" i="5" s="1"/>
  <c r="E14" i="5"/>
  <c r="D14" i="5"/>
  <c r="D25" i="5" s="1"/>
  <c r="H27" i="4"/>
  <c r="G27" i="4"/>
  <c r="F27" i="4"/>
  <c r="E27" i="4"/>
  <c r="D27" i="4"/>
  <c r="I20" i="4"/>
  <c r="H16" i="4"/>
  <c r="H29" i="4" s="1"/>
  <c r="G16" i="4"/>
  <c r="G29" i="4" s="1"/>
  <c r="E16" i="4"/>
  <c r="E29" i="4" s="1"/>
  <c r="H13" i="4"/>
  <c r="G13" i="4"/>
  <c r="F13" i="4"/>
  <c r="F16" i="4" s="1"/>
  <c r="F29" i="4" s="1"/>
  <c r="E13" i="4"/>
  <c r="D13" i="4"/>
  <c r="D16" i="4" s="1"/>
  <c r="D29" i="4" s="1"/>
  <c r="H12" i="3"/>
  <c r="H16" i="3" s="1"/>
  <c r="G12" i="3"/>
  <c r="G16" i="3" s="1"/>
  <c r="E12" i="3"/>
  <c r="E16" i="3" s="1"/>
  <c r="H10" i="3"/>
  <c r="G10" i="3"/>
  <c r="F10" i="3"/>
  <c r="F12" i="3" s="1"/>
  <c r="F16" i="3" s="1"/>
  <c r="E10" i="3"/>
  <c r="D10" i="3"/>
  <c r="D12" i="3" s="1"/>
  <c r="D16" i="3" s="1"/>
  <c r="I8" i="3"/>
  <c r="I17" i="6" s="1"/>
  <c r="H18" i="2"/>
  <c r="G18" i="2"/>
  <c r="F18" i="2"/>
  <c r="E18" i="2"/>
  <c r="D18" i="2"/>
  <c r="H17" i="2"/>
  <c r="G17" i="2"/>
  <c r="F17" i="2"/>
  <c r="E17" i="2"/>
  <c r="D17" i="2"/>
  <c r="H16" i="2"/>
  <c r="G16" i="2"/>
  <c r="F16" i="2"/>
  <c r="E16" i="2"/>
  <c r="D16" i="2"/>
  <c r="H15" i="2"/>
  <c r="G15" i="2"/>
  <c r="F15" i="2"/>
  <c r="E15" i="2"/>
  <c r="D15" i="2"/>
  <c r="H14" i="2"/>
  <c r="G14" i="2"/>
  <c r="F14" i="2"/>
  <c r="E14" i="2"/>
  <c r="D14" i="2"/>
  <c r="D11" i="2"/>
  <c r="H10" i="2"/>
  <c r="G10" i="2"/>
  <c r="F10" i="2"/>
  <c r="E10" i="2"/>
  <c r="D10" i="2"/>
  <c r="H9" i="2"/>
  <c r="G9" i="2"/>
  <c r="F9" i="2"/>
  <c r="E9" i="2"/>
  <c r="D9" i="2"/>
  <c r="H8" i="2"/>
  <c r="G8" i="2"/>
  <c r="F8" i="2"/>
  <c r="E8" i="2"/>
  <c r="E13" i="2" l="1"/>
  <c r="E18" i="3"/>
  <c r="E21" i="3" s="1"/>
  <c r="G13" i="2"/>
  <c r="G18" i="3"/>
  <c r="G21" i="3" s="1"/>
  <c r="J20" i="4"/>
  <c r="K22" i="6"/>
  <c r="K25" i="6" s="1"/>
  <c r="G27" i="5"/>
  <c r="H26" i="5" s="1"/>
  <c r="H27" i="5"/>
  <c r="I26" i="5" s="1"/>
  <c r="H13" i="2"/>
  <c r="H18" i="3"/>
  <c r="H21" i="3" s="1"/>
  <c r="D13" i="2"/>
  <c r="D18" i="3"/>
  <c r="D21" i="3" s="1"/>
  <c r="E19" i="6"/>
  <c r="F16" i="6" s="1"/>
  <c r="E11" i="2"/>
  <c r="F22" i="6"/>
  <c r="F25" i="6" s="1"/>
  <c r="E12" i="2"/>
  <c r="F18" i="3"/>
  <c r="F21" i="3" s="1"/>
  <c r="F13" i="2"/>
  <c r="I11" i="3"/>
  <c r="D12" i="2"/>
  <c r="I9" i="3"/>
  <c r="I10" i="3"/>
  <c r="I15" i="3"/>
  <c r="I20" i="3"/>
  <c r="I10" i="4"/>
  <c r="I11" i="5" s="1"/>
  <c r="I16" i="5"/>
  <c r="I18" i="5" s="1"/>
  <c r="F13" i="6"/>
  <c r="J8" i="3"/>
  <c r="K8" i="3" l="1"/>
  <c r="J16" i="5"/>
  <c r="J18" i="5" s="1"/>
  <c r="J11" i="3"/>
  <c r="J15" i="3"/>
  <c r="J10" i="4"/>
  <c r="J11" i="5" s="1"/>
  <c r="J9" i="3"/>
  <c r="J20" i="3"/>
  <c r="J17" i="6"/>
  <c r="K20" i="4"/>
  <c r="L22" i="6"/>
  <c r="L25" i="6" s="1"/>
  <c r="G22" i="6"/>
  <c r="G25" i="6" s="1"/>
  <c r="F12" i="2"/>
  <c r="F19" i="6"/>
  <c r="G16" i="6" s="1"/>
  <c r="F11" i="2"/>
  <c r="I12" i="3"/>
  <c r="I16" i="3" s="1"/>
  <c r="I19" i="4"/>
  <c r="I12" i="4"/>
  <c r="I11" i="4"/>
  <c r="I12" i="5" s="1"/>
  <c r="J12" i="4" l="1"/>
  <c r="I13" i="5"/>
  <c r="I21" i="4"/>
  <c r="I17" i="3"/>
  <c r="I18" i="3" s="1"/>
  <c r="I21" i="3" s="1"/>
  <c r="J11" i="4"/>
  <c r="J12" i="5" s="1"/>
  <c r="J19" i="4"/>
  <c r="G12" i="2"/>
  <c r="H22" i="6"/>
  <c r="H25" i="6" s="1"/>
  <c r="H12" i="2" s="1"/>
  <c r="J10" i="3"/>
  <c r="J12" i="3" s="1"/>
  <c r="J16" i="3" s="1"/>
  <c r="G11" i="2"/>
  <c r="G19" i="6"/>
  <c r="H16" i="6" s="1"/>
  <c r="M22" i="6"/>
  <c r="M25" i="6" s="1"/>
  <c r="M20" i="4" s="1"/>
  <c r="L20" i="4"/>
  <c r="K17" i="6"/>
  <c r="L8" i="3"/>
  <c r="K11" i="3"/>
  <c r="K16" i="5"/>
  <c r="K18" i="5" s="1"/>
  <c r="K10" i="4"/>
  <c r="K11" i="5" s="1"/>
  <c r="K20" i="3"/>
  <c r="K15" i="3"/>
  <c r="K9" i="3"/>
  <c r="K10" i="3" s="1"/>
  <c r="K12" i="3" s="1"/>
  <c r="K16" i="3" s="1"/>
  <c r="I24" i="4" l="1"/>
  <c r="I8" i="5"/>
  <c r="K17" i="3"/>
  <c r="K18" i="3" s="1"/>
  <c r="K21" i="3" s="1"/>
  <c r="K8" i="5" s="1"/>
  <c r="J13" i="5"/>
  <c r="J21" i="4"/>
  <c r="H11" i="2"/>
  <c r="H19" i="6"/>
  <c r="I16" i="6" s="1"/>
  <c r="J18" i="3"/>
  <c r="J21" i="3" s="1"/>
  <c r="J8" i="5" s="1"/>
  <c r="J17" i="3"/>
  <c r="M8" i="3"/>
  <c r="L16" i="5"/>
  <c r="L18" i="5" s="1"/>
  <c r="L11" i="3"/>
  <c r="L10" i="4"/>
  <c r="L11" i="5" s="1"/>
  <c r="L20" i="3"/>
  <c r="L15" i="3"/>
  <c r="L17" i="6"/>
  <c r="L9" i="3"/>
  <c r="K11" i="4"/>
  <c r="K12" i="5" s="1"/>
  <c r="K19" i="4"/>
  <c r="K12" i="4"/>
  <c r="I18" i="6" l="1"/>
  <c r="I9" i="5" s="1"/>
  <c r="L19" i="4"/>
  <c r="L11" i="4"/>
  <c r="L12" i="5" s="1"/>
  <c r="L10" i="3"/>
  <c r="L12" i="3" s="1"/>
  <c r="L16" i="3" s="1"/>
  <c r="K13" i="5"/>
  <c r="K21" i="4"/>
  <c r="M16" i="5"/>
  <c r="M18" i="5" s="1"/>
  <c r="M11" i="3"/>
  <c r="M10" i="4"/>
  <c r="M11" i="5" s="1"/>
  <c r="M20" i="3"/>
  <c r="M15" i="3"/>
  <c r="M9" i="3"/>
  <c r="M17" i="6"/>
  <c r="I14" i="5"/>
  <c r="I25" i="5" s="1"/>
  <c r="I27" i="5" s="1"/>
  <c r="J26" i="5" s="1"/>
  <c r="L12" i="4"/>
  <c r="M12" i="4" s="1"/>
  <c r="J24" i="4"/>
  <c r="I27" i="4"/>
  <c r="M11" i="4" l="1"/>
  <c r="M12" i="5" s="1"/>
  <c r="M19" i="4"/>
  <c r="M10" i="3"/>
  <c r="M12" i="3" s="1"/>
  <c r="M16" i="3" s="1"/>
  <c r="L13" i="5"/>
  <c r="L21" i="4"/>
  <c r="I19" i="6"/>
  <c r="L17" i="3"/>
  <c r="L18" i="3" s="1"/>
  <c r="L21" i="3" s="1"/>
  <c r="L8" i="5" s="1"/>
  <c r="K24" i="4"/>
  <c r="J27" i="4"/>
  <c r="J16" i="6" l="1"/>
  <c r="I15" i="4"/>
  <c r="I9" i="4" s="1"/>
  <c r="I13" i="4" s="1"/>
  <c r="I16" i="4" s="1"/>
  <c r="I29" i="4" s="1"/>
  <c r="M17" i="3"/>
  <c r="M18" i="3" s="1"/>
  <c r="M21" i="3" s="1"/>
  <c r="M8" i="5" s="1"/>
  <c r="M13" i="5"/>
  <c r="M21" i="4"/>
  <c r="L24" i="4"/>
  <c r="K27" i="4"/>
  <c r="M24" i="4" l="1"/>
  <c r="M27" i="4" s="1"/>
  <c r="L27" i="4"/>
  <c r="J18" i="6"/>
  <c r="J9" i="5" s="1"/>
  <c r="J14" i="5" s="1"/>
  <c r="J25" i="5" s="1"/>
  <c r="J27" i="5" s="1"/>
  <c r="K26" i="5" s="1"/>
  <c r="J19" i="6" l="1"/>
  <c r="J15" i="4" l="1"/>
  <c r="J9" i="4" s="1"/>
  <c r="J13" i="4" s="1"/>
  <c r="J16" i="4" s="1"/>
  <c r="J29" i="4" s="1"/>
  <c r="K16" i="6"/>
  <c r="K18" i="6" l="1"/>
  <c r="K9" i="5" s="1"/>
  <c r="K14" i="5" s="1"/>
  <c r="K25" i="5" s="1"/>
  <c r="K27" i="5" s="1"/>
  <c r="L26" i="5" s="1"/>
  <c r="K19" i="6" l="1"/>
  <c r="K15" i="4" l="1"/>
  <c r="K9" i="4" s="1"/>
  <c r="K13" i="4" s="1"/>
  <c r="K16" i="4" s="1"/>
  <c r="K29" i="4" s="1"/>
  <c r="L16" i="6"/>
  <c r="L18" i="6" l="1"/>
  <c r="L9" i="5" s="1"/>
  <c r="L14" i="5" s="1"/>
  <c r="L25" i="5" s="1"/>
  <c r="L27" i="5" s="1"/>
  <c r="M26" i="5" s="1"/>
  <c r="L19" i="6" l="1"/>
  <c r="M16" i="6" l="1"/>
  <c r="L15" i="4"/>
  <c r="L9" i="4" s="1"/>
  <c r="L13" i="4" s="1"/>
  <c r="L16" i="4" s="1"/>
  <c r="L29" i="4" s="1"/>
  <c r="M18" i="6" l="1"/>
  <c r="M9" i="5" s="1"/>
  <c r="M14" i="5" s="1"/>
  <c r="M25" i="5" s="1"/>
  <c r="M27" i="5" s="1"/>
  <c r="M19" i="6" l="1"/>
  <c r="M15" i="4" s="1"/>
  <c r="M9" i="4" s="1"/>
  <c r="M13" i="4" s="1"/>
  <c r="M16" i="4" s="1"/>
  <c r="M2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22" authorId="0" shapeId="0" xr:uid="{00000000-0006-0000-0500-000001000000}">
      <text>
        <r>
          <rPr>
            <sz val="12"/>
            <color theme="1"/>
            <rFont val="Aptos Narrow"/>
            <family val="2"/>
            <scheme val="minor"/>
          </rPr>
          <t>======
ID#AAAAqQiQ8JM
CFI    (2023-02-13 21:11:43)
We are using term debt/bond in this example so there's no compounding interest. To learn more about revolver and compound interest, take our LBO modeling course.</t>
        </r>
      </text>
    </comment>
  </commentList>
</comments>
</file>

<file path=xl/sharedStrings.xml><?xml version="1.0" encoding="utf-8"?>
<sst xmlns="http://schemas.openxmlformats.org/spreadsheetml/2006/main" count="152" uniqueCount="103">
  <si>
    <t>Date :</t>
  </si>
  <si>
    <t>Unilever PLC Financial Modelling</t>
  </si>
  <si>
    <t>Author :</t>
  </si>
  <si>
    <t>Nideesh Chandrasekar</t>
  </si>
  <si>
    <t>Page :</t>
  </si>
  <si>
    <t>Cover Page</t>
  </si>
  <si>
    <t>Assumptions and Notes</t>
  </si>
  <si>
    <t>Historical Data</t>
  </si>
  <si>
    <t>Forecasted Years</t>
  </si>
  <si>
    <t xml:space="preserve">Key Forecasting Assumptions </t>
  </si>
  <si>
    <t>Fiscal Year</t>
  </si>
  <si>
    <t xml:space="preserve">Revenue Growth </t>
  </si>
  <si>
    <t>NA</t>
  </si>
  <si>
    <t>COGS as a % of Revenue</t>
  </si>
  <si>
    <t>Operating Cost as a % of Rev</t>
  </si>
  <si>
    <t>D&amp;A as a % of PP&amp;E</t>
  </si>
  <si>
    <t xml:space="preserve">Interest as a % of Debt </t>
  </si>
  <si>
    <t>Tax Rate (% of EBT)</t>
  </si>
  <si>
    <t>Accounts Receivable (Days</t>
  </si>
  <si>
    <t>Inventory (Days)</t>
  </si>
  <si>
    <t>Accounts Payable (Days)</t>
  </si>
  <si>
    <t>CapEx (as a % of Rev)</t>
  </si>
  <si>
    <t>Debt Issuance (Repayment)</t>
  </si>
  <si>
    <t>Equity Issued</t>
  </si>
  <si>
    <t>Equity Repurchased</t>
  </si>
  <si>
    <t xml:space="preserve">Days in Period </t>
  </si>
  <si>
    <t>Notes</t>
  </si>
  <si>
    <t>Unilever has conceded to breashing payment code and has been confirmed 'too slow' in paying their suppliers</t>
  </si>
  <si>
    <t>Income Statement</t>
  </si>
  <si>
    <t>INCOME Statement</t>
  </si>
  <si>
    <t>Revenue</t>
  </si>
  <si>
    <t>Cost of Goods Sold (COGS)</t>
  </si>
  <si>
    <t>Gross Profit</t>
  </si>
  <si>
    <t>Total Operating Expenses</t>
  </si>
  <si>
    <t xml:space="preserve">Operating Income </t>
  </si>
  <si>
    <t>Interest Expense</t>
  </si>
  <si>
    <t>Net Interest and Other Expenses</t>
  </si>
  <si>
    <t>Pretax Profit (EBT)</t>
  </si>
  <si>
    <t>Tax Expense</t>
  </si>
  <si>
    <t xml:space="preserve">Net Earnings from Continued Operations </t>
  </si>
  <si>
    <t>Earnings from Discontinued Operations and Other</t>
  </si>
  <si>
    <t xml:space="preserve">Net Income </t>
  </si>
  <si>
    <t xml:space="preserve">Earnings from Discontinued Operations in 2025 is abnormal presumably due to one time sale of assets or equity. </t>
  </si>
  <si>
    <t>Balance Sheet</t>
  </si>
  <si>
    <t>Assets</t>
  </si>
  <si>
    <t>Total Cash &amp; ST Investments</t>
  </si>
  <si>
    <t>Accounts Receivables</t>
  </si>
  <si>
    <t>Inventory</t>
  </si>
  <si>
    <t>Prepaid Expenses and Other CA</t>
  </si>
  <si>
    <t>Total Current Assets</t>
  </si>
  <si>
    <t>PP&amp;E and other Long Term Assets</t>
  </si>
  <si>
    <t xml:space="preserve">Total Assets </t>
  </si>
  <si>
    <t>Liabilities</t>
  </si>
  <si>
    <t>Accounts Payable</t>
  </si>
  <si>
    <t>Total Debt and Other</t>
  </si>
  <si>
    <t>Total Liabilities</t>
  </si>
  <si>
    <t xml:space="preserve">Equity </t>
  </si>
  <si>
    <t>Total Equity</t>
  </si>
  <si>
    <t>Retained Earnings</t>
  </si>
  <si>
    <t>Minority Interest</t>
  </si>
  <si>
    <t>Stockholder Equity</t>
  </si>
  <si>
    <t>Balance Check</t>
  </si>
  <si>
    <t xml:space="preserve">Notes </t>
  </si>
  <si>
    <t>AR Days held flat at 36.2 days (5-year historical average) for all forecast years</t>
  </si>
  <si>
    <t>Inventory Days forecast at 61 days for all forecast years, reflecting Unilever active inventory reduction programme</t>
  </si>
  <si>
    <t>AP Days declining from 145 in 2026 to 125 in 2030 (5 day reduction per year), mean reverting toward historical average from unsustainable 2025 peak of 150 days</t>
  </si>
  <si>
    <t>Cashflow Statement</t>
  </si>
  <si>
    <t>Depreciation &amp; Amortization, Total</t>
  </si>
  <si>
    <t>Other Operating Activities</t>
  </si>
  <si>
    <t>Change In Accounts Receivable</t>
  </si>
  <si>
    <t>Change In Inventories</t>
  </si>
  <si>
    <t>Change In Accounts Payable</t>
  </si>
  <si>
    <t>CFO (calculated from above)</t>
  </si>
  <si>
    <t>Capital Expenditure</t>
  </si>
  <si>
    <t>Other Investing Activities</t>
  </si>
  <si>
    <t>CFI</t>
  </si>
  <si>
    <t>Total Debt Issued</t>
  </si>
  <si>
    <t>Total Debt Repaid</t>
  </si>
  <si>
    <t>Other Financing Activities</t>
  </si>
  <si>
    <t>CFF</t>
  </si>
  <si>
    <t>Net change in Cash</t>
  </si>
  <si>
    <t>Opening Cash Balance</t>
  </si>
  <si>
    <t>Closing Cash Balance</t>
  </si>
  <si>
    <t>Supporting Schedules</t>
  </si>
  <si>
    <t>Working Capital Schedule</t>
  </si>
  <si>
    <t>Accounts Receivable</t>
  </si>
  <si>
    <t>Net Working Capital (NWC)</t>
  </si>
  <si>
    <t>Change in NWC</t>
  </si>
  <si>
    <t>Depreciation Schedule</t>
  </si>
  <si>
    <t>PPE Opening</t>
  </si>
  <si>
    <t>Plus Capex</t>
  </si>
  <si>
    <t>Less Depreciation</t>
  </si>
  <si>
    <t>PPE Closing</t>
  </si>
  <si>
    <t>Debt &amp; Interest Schedule</t>
  </si>
  <si>
    <t>Debt Opening</t>
  </si>
  <si>
    <t>Debt Closing</t>
  </si>
  <si>
    <t xml:space="preserve">CONTENTS </t>
  </si>
  <si>
    <t xml:space="preserve">Assumptions and Notes </t>
  </si>
  <si>
    <t xml:space="preserve">Income Statement </t>
  </si>
  <si>
    <t xml:space="preserve">Balance Sheet </t>
  </si>
  <si>
    <t xml:space="preserve">Cashflow Statement </t>
  </si>
  <si>
    <t>SUMMARY</t>
  </si>
  <si>
    <t>This document is a three-statement financial model for Unilever PLC that analyses the company’s past financial performance from 2021–2025 and forecasts its future performance from 2026–2030. It includes projected income statements, balance sheets, and cash flow statements, along with key assumptions such as revenue growth, operating costs, taxes, and capital spending. The model is designed to evaluate Unilever’s financial position, profitability, and future business performance in a simple and structured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</si>
</sst>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7" x14ac:knownFonts="1">
    <font>
      <sz val="12"/>
      <color theme="1"/>
      <name val="Aptos Narrow"/>
      <family val="2"/>
      <scheme val="minor"/>
    </font>
    <font>
      <sz val="12"/>
      <color theme="1"/>
      <name val="Aptos Narrow"/>
      <family val="2"/>
      <scheme val="minor"/>
    </font>
    <font>
      <sz val="16"/>
      <color theme="1"/>
      <name val="Arial"/>
      <family val="2"/>
    </font>
    <font>
      <sz val="11"/>
      <color theme="1"/>
      <name val="Arial"/>
      <family val="2"/>
    </font>
    <font>
      <sz val="12"/>
      <color theme="1"/>
      <name val="Arial"/>
      <family val="2"/>
    </font>
    <font>
      <sz val="12"/>
      <color rgb="FF000000"/>
      <name val="Arial"/>
      <family val="2"/>
    </font>
    <font>
      <b/>
      <sz val="12"/>
      <color theme="1"/>
      <name val="Arial"/>
      <family val="2"/>
    </font>
  </fonts>
  <fills count="4">
    <fill>
      <patternFill patternType="none"/>
    </fill>
    <fill>
      <patternFill patternType="gray125"/>
    </fill>
    <fill>
      <patternFill patternType="solid">
        <fgColor theme="0" tint="-0.499984740745262"/>
        <bgColor indexed="64"/>
      </patternFill>
    </fill>
    <fill>
      <patternFill patternType="solid">
        <fgColor theme="0"/>
        <bgColor indexed="64"/>
      </patternFill>
    </fill>
  </fills>
  <borders count="18">
    <border>
      <left/>
      <right/>
      <top/>
      <bottom/>
      <diagonal/>
    </border>
    <border>
      <left style="medium">
        <color indexed="64"/>
      </left>
      <right style="thin">
        <color indexed="64"/>
      </right>
      <top style="medium">
        <color indexed="64"/>
      </top>
      <bottom style="medium">
        <color indexed="64"/>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thin">
        <color auto="1"/>
      </right>
      <top/>
      <bottom/>
      <diagonal/>
    </border>
    <border>
      <left style="thin">
        <color indexed="64"/>
      </left>
      <right/>
      <top/>
      <bottom/>
      <diagonal/>
    </border>
    <border>
      <left/>
      <right/>
      <top style="thin">
        <color indexed="64"/>
      </top>
      <bottom style="medium">
        <color indexed="64"/>
      </bottom>
      <diagonal/>
    </border>
    <border>
      <left/>
      <right/>
      <top/>
      <bottom style="thin">
        <color indexed="64"/>
      </bottom>
      <diagonal/>
    </border>
    <border>
      <left/>
      <right/>
      <top style="thin">
        <color rgb="FF000000"/>
      </top>
      <bottom/>
      <diagonal/>
    </border>
    <border>
      <left/>
      <right style="thin">
        <color indexed="64"/>
      </right>
      <top/>
      <bottom/>
      <diagonal/>
    </border>
  </borders>
  <cellStyleXfs count="2">
    <xf numFmtId="0" fontId="0" fillId="0" borderId="0"/>
    <xf numFmtId="9" fontId="1" fillId="0" borderId="0"/>
  </cellStyleXfs>
  <cellXfs count="64">
    <xf numFmtId="0" fontId="0" fillId="0" borderId="0" xfId="0"/>
    <xf numFmtId="0" fontId="3" fillId="2" borderId="0" xfId="0" applyFont="1" applyFill="1"/>
    <xf numFmtId="0" fontId="3" fillId="0" borderId="0" xfId="0" applyFont="1"/>
    <xf numFmtId="0" fontId="3" fillId="0" borderId="11" xfId="0" applyFont="1" applyBorder="1"/>
    <xf numFmtId="0" fontId="3" fillId="0" borderId="11" xfId="0" applyFont="1" applyBorder="1" applyAlignment="1">
      <alignment horizontal="right"/>
    </xf>
    <xf numFmtId="164" fontId="4" fillId="3" borderId="0" xfId="0" applyNumberFormat="1" applyFont="1" applyFill="1"/>
    <xf numFmtId="164" fontId="4" fillId="3" borderId="14" xfId="0" applyNumberFormat="1" applyFont="1" applyFill="1" applyBorder="1"/>
    <xf numFmtId="10" fontId="3" fillId="0" borderId="0" xfId="1" applyNumberFormat="1" applyFont="1"/>
    <xf numFmtId="10" fontId="3" fillId="0" borderId="0" xfId="0" applyNumberFormat="1" applyFont="1"/>
    <xf numFmtId="9" fontId="3" fillId="0" borderId="0" xfId="1" applyFont="1"/>
    <xf numFmtId="9" fontId="3" fillId="0" borderId="0" xfId="0" applyNumberFormat="1" applyFont="1"/>
    <xf numFmtId="1" fontId="3" fillId="0" borderId="0" xfId="0" applyNumberFormat="1" applyFont="1"/>
    <xf numFmtId="165" fontId="3" fillId="0" borderId="0" xfId="0" applyNumberFormat="1" applyFont="1"/>
    <xf numFmtId="4" fontId="3" fillId="0" borderId="0" xfId="0" applyNumberFormat="1" applyFont="1"/>
    <xf numFmtId="0" fontId="3" fillId="0" borderId="15" xfId="0" applyFont="1" applyBorder="1"/>
    <xf numFmtId="164" fontId="3" fillId="2" borderId="0" xfId="0" applyNumberFormat="1" applyFont="1" applyFill="1"/>
    <xf numFmtId="164" fontId="3" fillId="0" borderId="0" xfId="0" applyNumberFormat="1" applyFont="1"/>
    <xf numFmtId="164" fontId="3" fillId="0" borderId="0" xfId="0" applyNumberFormat="1" applyFont="1" applyAlignment="1">
      <alignment horizontal="left"/>
    </xf>
    <xf numFmtId="164" fontId="3" fillId="0" borderId="12" xfId="0" applyNumberFormat="1" applyFont="1" applyBorder="1"/>
    <xf numFmtId="164" fontId="3" fillId="0" borderId="15" xfId="0" applyNumberFormat="1" applyFont="1" applyBorder="1"/>
    <xf numFmtId="164" fontId="3" fillId="0" borderId="11" xfId="0" applyNumberFormat="1" applyFont="1" applyBorder="1"/>
    <xf numFmtId="164" fontId="3" fillId="0" borderId="11" xfId="0" applyNumberFormat="1" applyFont="1" applyBorder="1" applyAlignment="1">
      <alignment horizontal="right"/>
    </xf>
    <xf numFmtId="164" fontId="4" fillId="0" borderId="0" xfId="0" applyNumberFormat="1" applyFont="1"/>
    <xf numFmtId="164" fontId="5" fillId="0" borderId="0" xfId="0" applyNumberFormat="1" applyFont="1"/>
    <xf numFmtId="164" fontId="3" fillId="3" borderId="0" xfId="0" applyNumberFormat="1" applyFont="1" applyFill="1" applyAlignment="1">
      <alignment horizontal="left"/>
    </xf>
    <xf numFmtId="164" fontId="6" fillId="0" borderId="0" xfId="0" applyNumberFormat="1" applyFont="1"/>
    <xf numFmtId="164" fontId="4" fillId="0" borderId="16" xfId="0" applyNumberFormat="1" applyFont="1" applyBorder="1"/>
    <xf numFmtId="0" fontId="3" fillId="0" borderId="7" xfId="0" applyFont="1" applyBorder="1" applyAlignment="1">
      <alignment horizontal="center"/>
    </xf>
    <xf numFmtId="0" fontId="0" fillId="0" borderId="7" xfId="0" applyBorder="1"/>
    <xf numFmtId="0" fontId="2" fillId="0" borderId="1" xfId="0" applyFont="1" applyBorder="1" applyAlignment="1">
      <alignment horizontal="center"/>
    </xf>
    <xf numFmtId="0" fontId="0" fillId="0" borderId="2" xfId="0" applyBorder="1"/>
    <xf numFmtId="0" fontId="0" fillId="0" borderId="3" xfId="0" applyBorder="1"/>
    <xf numFmtId="0" fontId="0" fillId="0" borderId="6" xfId="0" applyBorder="1"/>
    <xf numFmtId="0" fontId="0" fillId="0" borderId="8" xfId="0" applyBorder="1"/>
    <xf numFmtId="0" fontId="3" fillId="0" borderId="7" xfId="0" applyFont="1" applyBorder="1" applyAlignment="1">
      <alignment horizontal="right"/>
    </xf>
    <xf numFmtId="0" fontId="3" fillId="0" borderId="2" xfId="0" applyFont="1" applyBorder="1" applyAlignment="1">
      <alignment horizontal="right"/>
    </xf>
    <xf numFmtId="0" fontId="2" fillId="0" borderId="4" xfId="0" applyFont="1" applyBorder="1" applyAlignment="1">
      <alignment horizontal="center"/>
    </xf>
    <xf numFmtId="0" fontId="0" fillId="0" borderId="5" xfId="0" applyBorder="1"/>
    <xf numFmtId="0" fontId="0" fillId="0" borderId="9" xfId="0" applyBorder="1"/>
    <xf numFmtId="0" fontId="0" fillId="0" borderId="10" xfId="0" applyBorder="1"/>
    <xf numFmtId="14" fontId="3" fillId="0" borderId="2" xfId="0" applyNumberFormat="1" applyFont="1" applyBorder="1" applyAlignment="1">
      <alignment horizontal="center"/>
    </xf>
    <xf numFmtId="164" fontId="4" fillId="3" borderId="13" xfId="0" applyNumberFormat="1" applyFont="1" applyFill="1" applyBorder="1" applyAlignment="1">
      <alignment horizontal="center"/>
    </xf>
    <xf numFmtId="0" fontId="3" fillId="2" borderId="0" xfId="0" applyFont="1" applyFill="1"/>
    <xf numFmtId="164" fontId="4" fillId="3" borderId="12" xfId="0" applyNumberFormat="1" applyFont="1" applyFill="1" applyBorder="1" applyAlignment="1">
      <alignment horizontal="center"/>
    </xf>
    <xf numFmtId="0" fontId="0" fillId="0" borderId="12" xfId="0" applyBorder="1"/>
    <xf numFmtId="164" fontId="2" fillId="0" borderId="1" xfId="0" applyNumberFormat="1" applyFont="1" applyBorder="1" applyAlignment="1">
      <alignment horizontal="center"/>
    </xf>
    <xf numFmtId="164" fontId="3" fillId="0" borderId="0" xfId="0" applyNumberFormat="1" applyFont="1" applyAlignment="1">
      <alignment horizontal="left"/>
    </xf>
    <xf numFmtId="164" fontId="3" fillId="2" borderId="0" xfId="0" applyNumberFormat="1" applyFont="1" applyFill="1"/>
    <xf numFmtId="164" fontId="3" fillId="0" borderId="2" xfId="0" applyNumberFormat="1" applyFont="1" applyBorder="1" applyAlignment="1">
      <alignment horizontal="right"/>
    </xf>
    <xf numFmtId="164" fontId="3" fillId="0" borderId="0" xfId="0" applyNumberFormat="1" applyFont="1" applyAlignment="1">
      <alignment horizontal="center"/>
    </xf>
    <xf numFmtId="164" fontId="3" fillId="0" borderId="2" xfId="0" applyNumberFormat="1" applyFont="1" applyBorder="1" applyAlignment="1">
      <alignment horizontal="center"/>
    </xf>
    <xf numFmtId="164" fontId="3" fillId="0" borderId="7" xfId="0" applyNumberFormat="1" applyFont="1" applyBorder="1" applyAlignment="1">
      <alignment horizontal="right"/>
    </xf>
    <xf numFmtId="164" fontId="2" fillId="0" borderId="4" xfId="0" applyNumberFormat="1" applyFont="1" applyBorder="1" applyAlignment="1">
      <alignment horizontal="center"/>
    </xf>
    <xf numFmtId="164" fontId="3" fillId="0" borderId="7" xfId="0" applyNumberFormat="1" applyFont="1" applyBorder="1" applyAlignment="1">
      <alignment horizontal="center"/>
    </xf>
    <xf numFmtId="164" fontId="4" fillId="0" borderId="0" xfId="0" applyNumberFormat="1" applyFont="1" applyAlignment="1">
      <alignment horizontal="left"/>
    </xf>
    <xf numFmtId="164" fontId="3" fillId="3" borderId="0" xfId="0" applyNumberFormat="1" applyFont="1" applyFill="1" applyAlignment="1">
      <alignment horizontal="left"/>
    </xf>
    <xf numFmtId="0" fontId="3" fillId="0" borderId="0" xfId="0" applyFont="1" applyAlignment="1">
      <alignment horizontal="center"/>
    </xf>
    <xf numFmtId="0" fontId="3" fillId="0" borderId="0" xfId="0" applyFont="1" applyAlignment="1">
      <alignment horizontal="center" wrapText="1"/>
    </xf>
    <xf numFmtId="0" fontId="3" fillId="0" borderId="17" xfId="0" applyFont="1" applyBorder="1"/>
    <xf numFmtId="10" fontId="3" fillId="0" borderId="17" xfId="1" applyNumberFormat="1" applyFont="1" applyBorder="1"/>
    <xf numFmtId="9" fontId="3" fillId="0" borderId="17" xfId="1" applyFont="1" applyBorder="1"/>
    <xf numFmtId="1" fontId="3" fillId="0" borderId="17" xfId="0" applyNumberFormat="1" applyFont="1" applyBorder="1"/>
    <xf numFmtId="4" fontId="3" fillId="0" borderId="17" xfId="0" applyNumberFormat="1" applyFont="1" applyBorder="1"/>
    <xf numFmtId="164" fontId="3" fillId="0" borderId="17" xfId="0" applyNumberFormat="1" applyFont="1" applyBorder="1"/>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0"/>
  <sheetViews>
    <sheetView zoomScale="114" workbookViewId="0">
      <selection activeCell="G7" sqref="G7"/>
    </sheetView>
  </sheetViews>
  <sheetFormatPr baseColWidth="10" defaultRowHeight="14" x14ac:dyDescent="0.15"/>
  <cols>
    <col min="1" max="31" width="10.83203125" style="1" customWidth="1"/>
    <col min="32" max="16384" width="10.83203125" style="1"/>
  </cols>
  <sheetData>
    <row r="1" spans="1:14" ht="16" customHeight="1" thickBot="1" x14ac:dyDescent="0.25">
      <c r="A1" s="29" t="s">
        <v>5</v>
      </c>
      <c r="B1" s="30"/>
      <c r="C1" s="30"/>
      <c r="D1" s="31"/>
      <c r="E1" s="35" t="s">
        <v>0</v>
      </c>
      <c r="F1" s="30"/>
      <c r="G1" s="40">
        <v>46157</v>
      </c>
      <c r="H1" s="30"/>
      <c r="I1" s="30"/>
      <c r="J1" s="36" t="s">
        <v>1</v>
      </c>
      <c r="K1" s="30"/>
      <c r="L1" s="30"/>
      <c r="M1" s="30"/>
      <c r="N1" s="37"/>
    </row>
    <row r="2" spans="1:14" ht="16" customHeight="1" thickBot="1" x14ac:dyDescent="0.25">
      <c r="A2" s="32"/>
      <c r="B2" s="28"/>
      <c r="C2" s="28"/>
      <c r="D2" s="33"/>
      <c r="E2" s="34" t="s">
        <v>2</v>
      </c>
      <c r="F2" s="28"/>
      <c r="G2" s="27" t="s">
        <v>3</v>
      </c>
      <c r="H2" s="28"/>
      <c r="I2" s="28"/>
      <c r="J2" s="38"/>
      <c r="K2" s="28"/>
      <c r="L2" s="28"/>
      <c r="M2" s="28"/>
      <c r="N2" s="39"/>
    </row>
    <row r="3" spans="1:14" x14ac:dyDescent="0.15">
      <c r="A3" s="2"/>
      <c r="B3" s="2"/>
      <c r="C3" s="2"/>
      <c r="D3" s="2"/>
      <c r="E3" s="2"/>
      <c r="F3" s="2"/>
      <c r="G3" s="2"/>
      <c r="H3" s="2"/>
      <c r="I3" s="2"/>
      <c r="J3" s="2"/>
      <c r="K3" s="2"/>
      <c r="L3" s="2"/>
      <c r="M3" s="2"/>
      <c r="N3" s="2"/>
    </row>
    <row r="4" spans="1:14" x14ac:dyDescent="0.15">
      <c r="A4" s="2"/>
      <c r="B4" s="2"/>
      <c r="C4" s="2"/>
      <c r="D4" s="2"/>
      <c r="E4" s="2"/>
      <c r="F4" s="2"/>
      <c r="G4" s="2"/>
      <c r="H4" s="2"/>
      <c r="I4" s="2"/>
      <c r="J4" s="2"/>
      <c r="K4" s="2"/>
      <c r="L4" s="2"/>
      <c r="M4" s="2"/>
      <c r="N4" s="2"/>
    </row>
    <row r="5" spans="1:14" x14ac:dyDescent="0.15">
      <c r="A5" s="56" t="s">
        <v>96</v>
      </c>
      <c r="B5" s="56"/>
      <c r="C5" s="56"/>
      <c r="D5" s="2"/>
      <c r="E5" s="2"/>
      <c r="F5" s="2"/>
      <c r="G5" s="2"/>
      <c r="H5" s="2"/>
      <c r="I5" s="2"/>
      <c r="J5" s="2"/>
      <c r="K5" s="2"/>
      <c r="L5" s="2"/>
      <c r="M5" s="2"/>
      <c r="N5" s="2"/>
    </row>
    <row r="6" spans="1:14" x14ac:dyDescent="0.15">
      <c r="A6" s="2"/>
      <c r="B6" s="2"/>
      <c r="C6" s="2" t="s">
        <v>97</v>
      </c>
      <c r="D6" s="2"/>
      <c r="E6" s="58">
        <v>2</v>
      </c>
      <c r="F6" s="2"/>
      <c r="G6" s="2"/>
      <c r="H6" s="2"/>
      <c r="I6" s="2"/>
      <c r="J6" s="2"/>
      <c r="K6" s="2"/>
      <c r="L6" s="2"/>
      <c r="M6" s="2"/>
      <c r="N6" s="2"/>
    </row>
    <row r="7" spans="1:14" x14ac:dyDescent="0.15">
      <c r="A7" s="2"/>
      <c r="B7" s="2"/>
      <c r="C7" s="2" t="s">
        <v>98</v>
      </c>
      <c r="D7" s="2"/>
      <c r="E7" s="58">
        <v>3</v>
      </c>
      <c r="F7" s="2"/>
      <c r="G7" s="2"/>
      <c r="H7" s="2"/>
      <c r="I7" s="2"/>
      <c r="J7" s="2"/>
      <c r="K7" s="2"/>
      <c r="L7" s="2"/>
      <c r="M7" s="2"/>
      <c r="N7" s="2"/>
    </row>
    <row r="8" spans="1:14" x14ac:dyDescent="0.15">
      <c r="A8" s="2"/>
      <c r="B8" s="2"/>
      <c r="C8" s="2" t="s">
        <v>99</v>
      </c>
      <c r="D8" s="2"/>
      <c r="E8" s="58">
        <v>4</v>
      </c>
      <c r="F8" s="2"/>
      <c r="G8" s="2"/>
      <c r="H8" s="2"/>
      <c r="I8" s="2"/>
      <c r="J8" s="2"/>
      <c r="K8" s="2"/>
      <c r="L8" s="2"/>
      <c r="M8" s="2"/>
      <c r="N8" s="2"/>
    </row>
    <row r="9" spans="1:14" x14ac:dyDescent="0.15">
      <c r="A9" s="2"/>
      <c r="B9" s="2"/>
      <c r="C9" s="2" t="s">
        <v>100</v>
      </c>
      <c r="D9" s="2"/>
      <c r="E9" s="58">
        <v>5</v>
      </c>
      <c r="F9" s="2"/>
      <c r="G9" s="2"/>
      <c r="H9" s="2"/>
      <c r="I9" s="2"/>
      <c r="J9" s="2"/>
      <c r="K9" s="2"/>
      <c r="L9" s="2"/>
      <c r="M9" s="2"/>
      <c r="N9" s="2"/>
    </row>
    <row r="10" spans="1:14" x14ac:dyDescent="0.15">
      <c r="A10" s="2"/>
      <c r="B10" s="2"/>
      <c r="C10" s="2" t="s">
        <v>83</v>
      </c>
      <c r="D10" s="2"/>
      <c r="E10" s="58">
        <v>6</v>
      </c>
      <c r="F10" s="2"/>
      <c r="G10" s="2"/>
      <c r="H10" s="2"/>
      <c r="I10" s="2"/>
      <c r="J10" s="2"/>
      <c r="K10" s="2"/>
      <c r="L10" s="2"/>
      <c r="M10" s="2"/>
      <c r="N10" s="2"/>
    </row>
    <row r="11" spans="1:14" x14ac:dyDescent="0.15">
      <c r="A11" s="2"/>
      <c r="B11" s="2"/>
      <c r="C11" s="2"/>
      <c r="D11" s="2"/>
      <c r="E11" s="2"/>
      <c r="F11" s="2"/>
      <c r="G11" s="2"/>
      <c r="H11" s="2"/>
      <c r="I11" s="2"/>
      <c r="J11" s="2"/>
      <c r="K11" s="2"/>
      <c r="L11" s="2"/>
      <c r="M11" s="2"/>
      <c r="N11" s="2"/>
    </row>
    <row r="12" spans="1:14" x14ac:dyDescent="0.15">
      <c r="A12" s="2"/>
      <c r="B12" s="2"/>
      <c r="C12" s="2"/>
      <c r="D12" s="2"/>
      <c r="E12" s="2"/>
      <c r="F12" s="2"/>
      <c r="G12" s="2"/>
      <c r="H12" s="2"/>
      <c r="I12" s="2"/>
      <c r="J12" s="2"/>
      <c r="K12" s="2"/>
      <c r="L12" s="2"/>
      <c r="M12" s="2"/>
      <c r="N12" s="2"/>
    </row>
    <row r="13" spans="1:14" x14ac:dyDescent="0.15">
      <c r="A13" s="2"/>
      <c r="B13" s="2"/>
      <c r="C13" s="2"/>
      <c r="D13" s="2"/>
      <c r="E13" s="2"/>
      <c r="F13" s="2"/>
      <c r="G13" s="2"/>
      <c r="H13" s="2"/>
      <c r="I13" s="2"/>
      <c r="J13" s="2"/>
      <c r="K13" s="2"/>
      <c r="L13" s="2"/>
      <c r="M13" s="2"/>
      <c r="N13" s="2"/>
    </row>
    <row r="14" spans="1:14" ht="16" customHeight="1" x14ac:dyDescent="0.15">
      <c r="A14" s="56" t="s">
        <v>101</v>
      </c>
      <c r="B14" s="56"/>
      <c r="C14" s="56"/>
      <c r="D14" s="2"/>
      <c r="E14" s="2"/>
      <c r="F14" s="2"/>
      <c r="G14" s="2"/>
      <c r="H14" s="2"/>
      <c r="I14" s="2"/>
      <c r="J14" s="2"/>
      <c r="K14" s="2"/>
      <c r="L14" s="2"/>
      <c r="M14" s="2"/>
      <c r="N14" s="2"/>
    </row>
    <row r="15" spans="1:14" x14ac:dyDescent="0.15">
      <c r="A15" s="2"/>
      <c r="B15" s="2"/>
      <c r="C15" s="57" t="s">
        <v>102</v>
      </c>
      <c r="D15" s="57"/>
      <c r="E15" s="57"/>
      <c r="F15" s="57"/>
      <c r="G15" s="57"/>
      <c r="H15" s="57"/>
      <c r="I15" s="57"/>
      <c r="J15" s="57"/>
      <c r="K15" s="57"/>
      <c r="L15" s="57"/>
      <c r="M15" s="57"/>
      <c r="N15" s="2"/>
    </row>
    <row r="16" spans="1:14" x14ac:dyDescent="0.15">
      <c r="A16" s="2"/>
      <c r="B16" s="2"/>
      <c r="C16" s="57"/>
      <c r="D16" s="57"/>
      <c r="E16" s="57"/>
      <c r="F16" s="57"/>
      <c r="G16" s="57"/>
      <c r="H16" s="57"/>
      <c r="I16" s="57"/>
      <c r="J16" s="57"/>
      <c r="K16" s="57"/>
      <c r="L16" s="57"/>
      <c r="M16" s="57"/>
      <c r="N16" s="2"/>
    </row>
    <row r="17" spans="1:14" x14ac:dyDescent="0.15">
      <c r="A17" s="2"/>
      <c r="B17" s="2"/>
      <c r="C17" s="2"/>
      <c r="D17" s="2"/>
      <c r="E17" s="2"/>
      <c r="F17" s="2"/>
      <c r="G17" s="2"/>
      <c r="H17" s="2"/>
      <c r="I17" s="2"/>
      <c r="J17" s="2"/>
      <c r="K17" s="2"/>
      <c r="L17" s="2"/>
      <c r="M17" s="2"/>
      <c r="N17" s="2"/>
    </row>
    <row r="18" spans="1:14" x14ac:dyDescent="0.15">
      <c r="A18" s="2"/>
      <c r="B18" s="2"/>
      <c r="C18" s="2"/>
      <c r="D18" s="2"/>
      <c r="E18" s="2"/>
      <c r="F18" s="2"/>
      <c r="G18" s="2"/>
      <c r="H18" s="2"/>
      <c r="I18" s="2"/>
      <c r="J18" s="2"/>
      <c r="K18" s="2"/>
      <c r="L18" s="2"/>
      <c r="M18" s="2"/>
      <c r="N18" s="2"/>
    </row>
    <row r="19" spans="1:14" x14ac:dyDescent="0.15">
      <c r="A19" s="2"/>
      <c r="B19" s="2"/>
      <c r="C19" s="2"/>
      <c r="D19" s="2"/>
      <c r="E19" s="2"/>
      <c r="F19" s="2"/>
      <c r="G19" s="2"/>
      <c r="H19" s="2"/>
      <c r="I19" s="2"/>
      <c r="J19" s="2"/>
      <c r="K19" s="2"/>
      <c r="L19" s="2"/>
      <c r="M19" s="2"/>
      <c r="N19" s="2"/>
    </row>
    <row r="20" spans="1:14" x14ac:dyDescent="0.15">
      <c r="A20" s="2"/>
      <c r="B20" s="2"/>
      <c r="C20" s="2"/>
      <c r="D20" s="2"/>
      <c r="E20" s="2"/>
      <c r="F20" s="2"/>
      <c r="G20" s="2"/>
      <c r="H20" s="2"/>
      <c r="I20" s="2"/>
      <c r="J20" s="2"/>
      <c r="K20" s="2"/>
      <c r="L20" s="2"/>
      <c r="M20" s="2"/>
      <c r="N20" s="2"/>
    </row>
    <row r="21" spans="1:14" x14ac:dyDescent="0.15">
      <c r="A21" s="2"/>
      <c r="B21" s="2"/>
      <c r="C21" s="2"/>
      <c r="D21" s="2"/>
      <c r="E21" s="2"/>
      <c r="F21" s="2"/>
      <c r="G21" s="2"/>
      <c r="H21" s="2"/>
      <c r="I21" s="2"/>
      <c r="J21" s="2"/>
      <c r="K21" s="2"/>
      <c r="L21" s="2"/>
      <c r="M21" s="2"/>
      <c r="N21" s="2"/>
    </row>
    <row r="22" spans="1:14" x14ac:dyDescent="0.15">
      <c r="A22" s="2"/>
      <c r="B22" s="2"/>
      <c r="C22" s="2"/>
      <c r="D22" s="2"/>
      <c r="E22" s="2"/>
      <c r="F22" s="2"/>
      <c r="G22" s="2"/>
      <c r="H22" s="2"/>
      <c r="I22" s="2"/>
      <c r="J22" s="2"/>
      <c r="K22" s="2"/>
      <c r="L22" s="2"/>
      <c r="M22" s="2"/>
      <c r="N22" s="2"/>
    </row>
    <row r="23" spans="1:14" x14ac:dyDescent="0.15">
      <c r="A23" s="2"/>
      <c r="B23" s="2"/>
      <c r="C23" s="2"/>
      <c r="D23" s="2"/>
      <c r="E23" s="2"/>
      <c r="F23" s="2"/>
      <c r="G23" s="2"/>
      <c r="H23" s="2"/>
      <c r="I23" s="2"/>
      <c r="J23" s="2"/>
      <c r="K23" s="2"/>
      <c r="L23" s="2"/>
      <c r="M23" s="2"/>
      <c r="N23" s="2"/>
    </row>
    <row r="24" spans="1:14" x14ac:dyDescent="0.15">
      <c r="A24" s="2"/>
      <c r="B24" s="2"/>
      <c r="C24" s="2"/>
      <c r="D24" s="2"/>
      <c r="E24" s="2"/>
      <c r="F24" s="2"/>
      <c r="G24" s="2"/>
      <c r="H24" s="2"/>
      <c r="I24" s="2"/>
      <c r="J24" s="2"/>
      <c r="K24" s="2"/>
      <c r="L24" s="2"/>
      <c r="M24" s="2"/>
      <c r="N24" s="2"/>
    </row>
    <row r="25" spans="1:14" x14ac:dyDescent="0.15">
      <c r="A25" s="2"/>
      <c r="B25" s="2"/>
      <c r="C25" s="2"/>
      <c r="D25" s="2"/>
      <c r="E25" s="2"/>
      <c r="F25" s="2"/>
      <c r="G25" s="2"/>
      <c r="H25" s="2"/>
      <c r="I25" s="2"/>
      <c r="J25" s="2"/>
      <c r="K25" s="2"/>
      <c r="L25" s="2"/>
      <c r="M25" s="2"/>
      <c r="N25" s="2"/>
    </row>
    <row r="26" spans="1:14" x14ac:dyDescent="0.15">
      <c r="A26" s="2"/>
      <c r="B26" s="2"/>
      <c r="C26" s="2"/>
      <c r="D26" s="2"/>
      <c r="E26" s="2"/>
      <c r="F26" s="2"/>
      <c r="G26" s="2"/>
      <c r="H26" s="2"/>
      <c r="I26" s="2"/>
      <c r="J26" s="2"/>
      <c r="K26" s="2"/>
      <c r="L26" s="2"/>
      <c r="M26" s="2"/>
      <c r="N26" s="2"/>
    </row>
    <row r="27" spans="1:14" x14ac:dyDescent="0.15">
      <c r="A27" s="2"/>
      <c r="B27" s="2"/>
      <c r="C27" s="2"/>
      <c r="D27" s="2"/>
      <c r="E27" s="2"/>
      <c r="F27" s="2"/>
      <c r="G27" s="2"/>
      <c r="H27" s="2"/>
      <c r="I27" s="2"/>
      <c r="J27" s="2"/>
      <c r="K27" s="2"/>
      <c r="L27" s="2"/>
      <c r="M27" s="2"/>
      <c r="N27" s="2"/>
    </row>
    <row r="28" spans="1:14" x14ac:dyDescent="0.15">
      <c r="A28" s="2"/>
      <c r="B28" s="2"/>
      <c r="C28" s="2"/>
      <c r="D28" s="2"/>
      <c r="E28" s="2"/>
      <c r="F28" s="2"/>
      <c r="G28" s="2"/>
      <c r="H28" s="2"/>
      <c r="I28" s="2"/>
      <c r="J28" s="2"/>
      <c r="K28" s="2"/>
      <c r="L28" s="2"/>
      <c r="M28" s="2"/>
      <c r="N28" s="2"/>
    </row>
    <row r="29" spans="1:14" x14ac:dyDescent="0.15">
      <c r="A29" s="2"/>
      <c r="B29" s="2"/>
      <c r="C29" s="2"/>
      <c r="D29" s="2"/>
      <c r="E29" s="2"/>
      <c r="F29" s="2"/>
      <c r="G29" s="2"/>
      <c r="H29" s="2"/>
      <c r="I29" s="2"/>
      <c r="J29" s="2"/>
      <c r="K29" s="2"/>
      <c r="L29" s="2"/>
      <c r="M29" s="2"/>
      <c r="N29" s="2"/>
    </row>
    <row r="30" spans="1:14" x14ac:dyDescent="0.15">
      <c r="A30" s="2"/>
      <c r="B30" s="2"/>
      <c r="C30" s="2"/>
      <c r="D30" s="2"/>
      <c r="E30" s="2"/>
      <c r="F30" s="2"/>
      <c r="G30" s="2"/>
      <c r="H30" s="2"/>
      <c r="I30" s="2"/>
      <c r="J30" s="2"/>
      <c r="K30" s="2"/>
      <c r="L30" s="2"/>
      <c r="M30" s="2"/>
      <c r="N30" s="2"/>
    </row>
    <row r="31" spans="1:14" x14ac:dyDescent="0.15">
      <c r="A31" s="2"/>
      <c r="B31" s="2"/>
      <c r="C31" s="2"/>
      <c r="D31" s="2"/>
      <c r="E31" s="2"/>
      <c r="F31" s="2"/>
      <c r="G31" s="2"/>
      <c r="H31" s="2"/>
      <c r="I31" s="2"/>
      <c r="J31" s="2"/>
      <c r="K31" s="2"/>
      <c r="L31" s="2"/>
      <c r="M31" s="2"/>
      <c r="N31" s="2"/>
    </row>
    <row r="32" spans="1:14" x14ac:dyDescent="0.15">
      <c r="A32" s="2"/>
      <c r="B32" s="2"/>
      <c r="C32" s="2"/>
      <c r="D32" s="2"/>
      <c r="E32" s="2"/>
      <c r="F32" s="2"/>
      <c r="G32" s="2"/>
      <c r="H32" s="2"/>
      <c r="I32" s="2"/>
      <c r="J32" s="2"/>
      <c r="K32" s="2"/>
      <c r="L32" s="2"/>
      <c r="M32" s="2"/>
      <c r="N32" s="2"/>
    </row>
    <row r="33" spans="1:14" x14ac:dyDescent="0.15">
      <c r="A33" s="2"/>
      <c r="B33" s="2"/>
      <c r="C33" s="2"/>
      <c r="D33" s="2"/>
      <c r="E33" s="2"/>
      <c r="F33" s="2"/>
      <c r="G33" s="2"/>
      <c r="H33" s="2"/>
      <c r="I33" s="2"/>
      <c r="J33" s="2"/>
      <c r="K33" s="2"/>
      <c r="L33" s="2"/>
      <c r="M33" s="2"/>
      <c r="N33" s="2"/>
    </row>
    <row r="34" spans="1:14" x14ac:dyDescent="0.15">
      <c r="A34" s="2"/>
      <c r="B34" s="2"/>
      <c r="C34" s="2"/>
      <c r="D34" s="2"/>
      <c r="E34" s="2"/>
      <c r="F34" s="2"/>
      <c r="G34" s="2"/>
      <c r="H34" s="2"/>
      <c r="I34" s="2"/>
      <c r="J34" s="2"/>
      <c r="K34" s="2"/>
      <c r="L34" s="2"/>
      <c r="M34" s="2"/>
      <c r="N34" s="2"/>
    </row>
    <row r="35" spans="1:14" x14ac:dyDescent="0.15">
      <c r="A35" s="2"/>
      <c r="B35" s="2"/>
      <c r="C35" s="2"/>
      <c r="D35" s="2"/>
      <c r="E35" s="2"/>
      <c r="F35" s="2"/>
      <c r="G35" s="2"/>
      <c r="H35" s="2"/>
      <c r="I35" s="2"/>
      <c r="J35" s="2"/>
      <c r="K35" s="2"/>
      <c r="L35" s="2"/>
      <c r="M35" s="2"/>
      <c r="N35" s="2"/>
    </row>
    <row r="36" spans="1:14" x14ac:dyDescent="0.15">
      <c r="A36" s="2"/>
      <c r="B36" s="2"/>
      <c r="C36" s="2"/>
      <c r="D36" s="2"/>
      <c r="E36" s="2"/>
      <c r="F36" s="2"/>
      <c r="G36" s="2"/>
      <c r="H36" s="2"/>
      <c r="I36" s="2"/>
      <c r="J36" s="2"/>
      <c r="K36" s="2"/>
      <c r="L36" s="2"/>
      <c r="M36" s="2"/>
      <c r="N36" s="2"/>
    </row>
    <row r="37" spans="1:14" x14ac:dyDescent="0.15">
      <c r="A37" s="2"/>
      <c r="B37" s="2"/>
      <c r="C37" s="2"/>
      <c r="D37" s="2"/>
      <c r="E37" s="2"/>
      <c r="F37" s="2"/>
      <c r="G37" s="2"/>
      <c r="H37" s="2"/>
      <c r="I37" s="2"/>
      <c r="J37" s="2"/>
      <c r="K37" s="2"/>
      <c r="L37" s="2"/>
      <c r="M37" s="2"/>
      <c r="N37" s="2"/>
    </row>
    <row r="38" spans="1:14" x14ac:dyDescent="0.15">
      <c r="A38" s="2"/>
      <c r="B38" s="2"/>
      <c r="C38" s="2"/>
      <c r="D38" s="2"/>
      <c r="E38" s="2"/>
      <c r="F38" s="2"/>
      <c r="G38" s="2"/>
      <c r="H38" s="2"/>
      <c r="I38" s="2"/>
      <c r="J38" s="2"/>
      <c r="K38" s="2"/>
      <c r="L38" s="2"/>
      <c r="M38" s="2"/>
      <c r="N38" s="2"/>
    </row>
    <row r="39" spans="1:14" x14ac:dyDescent="0.15">
      <c r="A39" s="2"/>
      <c r="B39" s="2"/>
      <c r="C39" s="2"/>
      <c r="D39" s="2"/>
      <c r="E39" s="2"/>
      <c r="F39" s="2"/>
      <c r="G39" s="2"/>
      <c r="H39" s="2"/>
      <c r="I39" s="2"/>
      <c r="J39" s="2"/>
      <c r="K39" s="2"/>
      <c r="L39" s="2"/>
      <c r="M39" s="2"/>
      <c r="N39" s="2"/>
    </row>
    <row r="40" spans="1:14" x14ac:dyDescent="0.15">
      <c r="A40" s="3"/>
      <c r="B40" s="3"/>
      <c r="C40" s="3"/>
      <c r="D40" s="3"/>
      <c r="E40" s="3"/>
      <c r="F40" s="3"/>
      <c r="G40" s="3"/>
      <c r="H40" s="3"/>
      <c r="I40" s="3"/>
      <c r="J40" s="3"/>
      <c r="K40" s="3"/>
      <c r="L40" s="3"/>
      <c r="M40" s="4" t="s">
        <v>4</v>
      </c>
      <c r="N40" s="3">
        <v>1</v>
      </c>
    </row>
  </sheetData>
  <mergeCells count="9">
    <mergeCell ref="A5:C5"/>
    <mergeCell ref="A14:C14"/>
    <mergeCell ref="C15:M16"/>
    <mergeCell ref="G2:I2"/>
    <mergeCell ref="A1:D2"/>
    <mergeCell ref="E2:F2"/>
    <mergeCell ref="E1:F1"/>
    <mergeCell ref="J1:N2"/>
    <mergeCell ref="G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1"/>
  <sheetViews>
    <sheetView topLeftCell="A2" zoomScale="144" workbookViewId="0">
      <selection activeCell="B18" sqref="B18"/>
    </sheetView>
  </sheetViews>
  <sheetFormatPr baseColWidth="10" defaultRowHeight="14" x14ac:dyDescent="0.15"/>
  <cols>
    <col min="1" max="31" width="10.83203125" style="1" customWidth="1"/>
    <col min="32" max="16384" width="10.83203125" style="1"/>
  </cols>
  <sheetData>
    <row r="1" spans="1:14" ht="16" customHeight="1" thickBot="1" x14ac:dyDescent="0.25">
      <c r="A1" s="29" t="s">
        <v>6</v>
      </c>
      <c r="B1" s="30"/>
      <c r="C1" s="30"/>
      <c r="D1" s="31"/>
      <c r="E1" s="35" t="s">
        <v>0</v>
      </c>
      <c r="F1" s="30"/>
      <c r="G1" s="40">
        <v>46157</v>
      </c>
      <c r="H1" s="30"/>
      <c r="I1" s="30"/>
      <c r="J1" s="36" t="s">
        <v>1</v>
      </c>
      <c r="K1" s="30"/>
      <c r="L1" s="30"/>
      <c r="M1" s="30"/>
      <c r="N1" s="37"/>
    </row>
    <row r="2" spans="1:14" ht="16" customHeight="1" thickBot="1" x14ac:dyDescent="0.25">
      <c r="A2" s="32"/>
      <c r="B2" s="28"/>
      <c r="C2" s="28"/>
      <c r="D2" s="33"/>
      <c r="E2" s="34" t="s">
        <v>2</v>
      </c>
      <c r="F2" s="28"/>
      <c r="G2" s="27" t="s">
        <v>3</v>
      </c>
      <c r="H2" s="28"/>
      <c r="I2" s="28"/>
      <c r="J2" s="38"/>
      <c r="K2" s="28"/>
      <c r="L2" s="28"/>
      <c r="M2" s="28"/>
      <c r="N2" s="39"/>
    </row>
    <row r="3" spans="1:14" x14ac:dyDescent="0.15">
      <c r="A3" s="2"/>
      <c r="B3" s="2"/>
      <c r="C3" s="2"/>
      <c r="D3" s="2"/>
      <c r="E3" s="2"/>
      <c r="F3" s="2"/>
      <c r="G3" s="2"/>
      <c r="H3" s="2"/>
      <c r="I3" s="2"/>
      <c r="J3" s="2"/>
      <c r="K3" s="2"/>
      <c r="L3" s="2"/>
      <c r="M3" s="2"/>
      <c r="N3" s="2"/>
    </row>
    <row r="4" spans="1:14" ht="16" customHeight="1" x14ac:dyDescent="0.2">
      <c r="A4" s="5"/>
      <c r="B4" s="5"/>
      <c r="C4" s="5"/>
      <c r="D4" s="43" t="s">
        <v>7</v>
      </c>
      <c r="E4" s="42"/>
      <c r="F4" s="42"/>
      <c r="G4" s="42"/>
      <c r="H4" s="44"/>
      <c r="I4" s="41" t="s">
        <v>8</v>
      </c>
      <c r="J4" s="42"/>
      <c r="K4" s="42"/>
      <c r="L4" s="42"/>
      <c r="M4" s="42"/>
      <c r="N4" s="2"/>
    </row>
    <row r="5" spans="1:14" ht="16" customHeight="1" x14ac:dyDescent="0.2">
      <c r="A5" s="5" t="s">
        <v>9</v>
      </c>
      <c r="B5" s="5"/>
      <c r="C5" s="5"/>
      <c r="D5" s="5"/>
      <c r="E5" s="5"/>
      <c r="F5" s="5"/>
      <c r="G5" s="5"/>
      <c r="H5" s="5"/>
      <c r="I5" s="5"/>
      <c r="J5" s="5"/>
      <c r="K5" s="5"/>
      <c r="L5" s="5"/>
      <c r="M5" s="5"/>
      <c r="N5" s="2"/>
    </row>
    <row r="6" spans="1:14" ht="17" customHeight="1" thickBot="1" x14ac:dyDescent="0.25">
      <c r="A6" s="6" t="s">
        <v>10</v>
      </c>
      <c r="B6" s="6"/>
      <c r="C6" s="6"/>
      <c r="D6" s="6">
        <v>2021</v>
      </c>
      <c r="E6" s="6">
        <v>2022</v>
      </c>
      <c r="F6" s="6">
        <v>2023</v>
      </c>
      <c r="G6" s="6">
        <v>2024</v>
      </c>
      <c r="H6" s="6">
        <v>2025</v>
      </c>
      <c r="I6" s="6">
        <v>2026</v>
      </c>
      <c r="J6" s="6">
        <v>2027</v>
      </c>
      <c r="K6" s="6">
        <v>2028</v>
      </c>
      <c r="L6" s="6">
        <v>2029</v>
      </c>
      <c r="M6" s="6">
        <v>2030</v>
      </c>
      <c r="N6" s="2"/>
    </row>
    <row r="7" spans="1:14" x14ac:dyDescent="0.15">
      <c r="A7" s="2"/>
      <c r="B7" s="2"/>
      <c r="C7" s="2"/>
      <c r="D7" s="2"/>
      <c r="E7" s="2"/>
      <c r="F7" s="2"/>
      <c r="G7" s="2"/>
      <c r="H7" s="2"/>
      <c r="I7" s="2"/>
      <c r="J7" s="2"/>
      <c r="K7" s="2"/>
      <c r="L7" s="2"/>
      <c r="M7" s="2"/>
      <c r="N7" s="2"/>
    </row>
    <row r="8" spans="1:14" x14ac:dyDescent="0.15">
      <c r="A8" s="2" t="s">
        <v>11</v>
      </c>
      <c r="B8" s="2"/>
      <c r="C8" s="2"/>
      <c r="D8" s="2" t="s">
        <v>12</v>
      </c>
      <c r="E8" s="7">
        <f>('3 - Income Statement'!E8/'3 - Income Statement'!D8) - 1</f>
        <v>7.7651197855587162E-2</v>
      </c>
      <c r="F8" s="7">
        <f>('3 - Income Statement'!F8/'3 - Income Statement'!E8) - 1</f>
        <v>-0.11301982122036536</v>
      </c>
      <c r="G8" s="7">
        <f>('3 - Income Statement'!G8/'3 - Income Statement'!F8) - 1</f>
        <v>-4.7129962317062457E-2</v>
      </c>
      <c r="H8" s="59">
        <f>('3 - Income Statement'!H8/'3 - Income Statement'!G8) - 1</f>
        <v>9.1343854615016706E-2</v>
      </c>
      <c r="I8" s="8">
        <v>4.1000000000000002E-2</v>
      </c>
      <c r="J8" s="8">
        <v>4.1000000000000002E-2</v>
      </c>
      <c r="K8" s="8">
        <v>4.1000000000000002E-2</v>
      </c>
      <c r="L8" s="8">
        <v>4.1000000000000002E-2</v>
      </c>
      <c r="M8" s="8">
        <v>4.1000000000000002E-2</v>
      </c>
      <c r="N8" s="2"/>
    </row>
    <row r="9" spans="1:14" x14ac:dyDescent="0.15">
      <c r="A9" s="2" t="s">
        <v>13</v>
      </c>
      <c r="B9" s="2"/>
      <c r="C9" s="2"/>
      <c r="D9" s="9">
        <f>'3 - Income Statement'!D9/'3 - Income Statement'!D8 * -1</f>
        <v>0.57698106885575473</v>
      </c>
      <c r="E9" s="9">
        <f>'3 - Income Statement'!E9/'3 - Income Statement'!E8 * -1</f>
        <v>0.59770540225417801</v>
      </c>
      <c r="F9" s="9">
        <f>'3 - Income Statement'!F9/'3 - Income Statement'!F8 * -1</f>
        <v>0.56463061957760052</v>
      </c>
      <c r="G9" s="9">
        <f>'3 - Income Statement'!G9/'3 - Income Statement'!G8 * -1</f>
        <v>0.53308501637052574</v>
      </c>
      <c r="H9" s="60">
        <f>'3 - Income Statement'!H9/'3 - Income Statement'!H8 * -1</f>
        <v>0.53054001213510416</v>
      </c>
      <c r="I9" s="10">
        <v>0.56000000000000005</v>
      </c>
      <c r="J9" s="10">
        <v>0.56000000000000005</v>
      </c>
      <c r="K9" s="10">
        <v>0.56000000000000005</v>
      </c>
      <c r="L9" s="10">
        <v>0.56000000000000005</v>
      </c>
      <c r="M9" s="10">
        <v>0.56000000000000005</v>
      </c>
      <c r="N9" s="2"/>
    </row>
    <row r="10" spans="1:14" x14ac:dyDescent="0.15">
      <c r="A10" s="2" t="s">
        <v>14</v>
      </c>
      <c r="B10" s="2"/>
      <c r="C10" s="2"/>
      <c r="D10" s="9">
        <f>'3 - Income Statement'!D11/'3 - Income Statement'!D8 * -1</f>
        <v>0.23926620874518342</v>
      </c>
      <c r="E10" s="9">
        <f>'3 - Income Statement'!E11/'3 - Income Statement'!E8 * -1</f>
        <v>0.2439533618344345</v>
      </c>
      <c r="F10" s="9">
        <f>'3 - Income Statement'!F11/'3 - Income Statement'!F8 * -1</f>
        <v>0.2559004469371659</v>
      </c>
      <c r="G10" s="9">
        <f>'3 - Income Statement'!G11/'3 - Income Statement'!G8 * -1</f>
        <v>0.27105911783099729</v>
      </c>
      <c r="H10" s="60">
        <f>'3 - Income Statement'!H11/'3 - Income Statement'!H8 * -1</f>
        <v>0.26893244792017795</v>
      </c>
      <c r="I10" s="8">
        <v>0.25600000000000001</v>
      </c>
      <c r="J10" s="8">
        <v>0.25600000000000001</v>
      </c>
      <c r="K10" s="8">
        <v>0.25600000000000001</v>
      </c>
      <c r="L10" s="8">
        <v>0.25600000000000001</v>
      </c>
      <c r="M10" s="8">
        <v>0.25600000000000001</v>
      </c>
      <c r="N10" s="2"/>
    </row>
    <row r="11" spans="1:14" x14ac:dyDescent="0.15">
      <c r="A11" s="2" t="s">
        <v>15</v>
      </c>
      <c r="B11" s="2"/>
      <c r="C11" s="2"/>
      <c r="D11" s="9">
        <f>'6 - Supporting Schedules'!D18/'6 - Supporting Schedules'!D16</f>
        <v>0.16874846094406751</v>
      </c>
      <c r="E11" s="9">
        <f>'6 - Supporting Schedules'!E18/'6 - Supporting Schedules'!E16</f>
        <v>0.14773372577562005</v>
      </c>
      <c r="F11" s="9">
        <f>'6 - Supporting Schedules'!F18/'6 - Supporting Schedules'!F16</f>
        <v>9.9086069002181254E-2</v>
      </c>
      <c r="G11" s="9">
        <f>'6 - Supporting Schedules'!G18/'6 - Supporting Schedules'!G16</f>
        <v>8.3751304934812143E-2</v>
      </c>
      <c r="H11" s="60">
        <f>'6 - Supporting Schedules'!H18/'6 - Supporting Schedules'!H16</f>
        <v>0.10337332848543614</v>
      </c>
      <c r="I11" s="8">
        <v>0.12</v>
      </c>
      <c r="J11" s="8">
        <v>0.12</v>
      </c>
      <c r="K11" s="8">
        <v>0.12</v>
      </c>
      <c r="L11" s="8">
        <v>0.12</v>
      </c>
      <c r="M11" s="8">
        <v>0.12</v>
      </c>
      <c r="N11" s="2"/>
    </row>
    <row r="12" spans="1:14" x14ac:dyDescent="0.15">
      <c r="A12" s="2" t="s">
        <v>16</v>
      </c>
      <c r="B12" s="2"/>
      <c r="C12" s="2"/>
      <c r="D12" s="9">
        <f>'3 - Income Statement'!D14/'6 - Supporting Schedules'!D25 * -1</f>
        <v>1.5797673828761911E-2</v>
      </c>
      <c r="E12" s="9">
        <f>'3 - Income Statement'!E14/'6 - Supporting Schedules'!E25 * -1</f>
        <v>2.4825519034954963E-2</v>
      </c>
      <c r="F12" s="9">
        <f>'3 - Income Statement'!F14/'6 - Supporting Schedules'!F25 * -1</f>
        <v>3.0888720914561619E-2</v>
      </c>
      <c r="G12" s="9">
        <f>'3 - Income Statement'!G14/'6 - Supporting Schedules'!G25 * -1</f>
        <v>2.9759371513359945E-2</v>
      </c>
      <c r="H12" s="60">
        <f>'3 - Income Statement'!H14/'6 - Supporting Schedules'!H25 * -1</f>
        <v>3.949092556761126E-2</v>
      </c>
      <c r="I12" s="8">
        <v>2.8000000000000001E-2</v>
      </c>
      <c r="J12" s="8">
        <v>2.8000000000000001E-2</v>
      </c>
      <c r="K12" s="8">
        <v>2.8000000000000001E-2</v>
      </c>
      <c r="L12" s="8">
        <v>2.8000000000000001E-2</v>
      </c>
      <c r="M12" s="8">
        <v>2.8000000000000001E-2</v>
      </c>
      <c r="N12" s="2"/>
    </row>
    <row r="13" spans="1:14" x14ac:dyDescent="0.15">
      <c r="A13" s="2" t="s">
        <v>17</v>
      </c>
      <c r="B13" s="2"/>
      <c r="C13" s="2"/>
      <c r="D13" s="9">
        <f>'3 - Income Statement'!D17/'3 - Income Statement'!D16 * -1</f>
        <v>0.22613374958922117</v>
      </c>
      <c r="E13" s="9">
        <f>'3 - Income Statement'!E17/'3 - Income Statement'!E16 * -1</f>
        <v>0.20011021872092077</v>
      </c>
      <c r="F13" s="9">
        <f>'3 - Income Statement'!F17/'3 - Income Statement'!F16 * -1</f>
        <v>0.23069007518165399</v>
      </c>
      <c r="G13" s="9">
        <f>'3 - Income Statement'!G17/'3 - Income Statement'!G16 * -1</f>
        <v>0.27860421135173785</v>
      </c>
      <c r="H13" s="60">
        <f>'3 - Income Statement'!H17/'3 - Income Statement'!H16 * -1</f>
        <v>0.28537304081372922</v>
      </c>
      <c r="I13" s="8">
        <v>0.246</v>
      </c>
      <c r="J13" s="8">
        <v>0.246</v>
      </c>
      <c r="K13" s="8">
        <v>0.246</v>
      </c>
      <c r="L13" s="8">
        <v>0.246</v>
      </c>
      <c r="M13" s="8">
        <v>0.246</v>
      </c>
      <c r="N13" s="2"/>
    </row>
    <row r="14" spans="1:14" x14ac:dyDescent="0.15">
      <c r="A14" s="2" t="s">
        <v>18</v>
      </c>
      <c r="B14" s="2"/>
      <c r="C14" s="2"/>
      <c r="D14" s="11">
        <f>('4 - Balance Sheet'!D10/'3 - Income Statement'!D8) *365</f>
        <v>31.346950913050765</v>
      </c>
      <c r="E14" s="11">
        <f>('4 - Balance Sheet'!E10/'3 - Income Statement'!E8) *365</f>
        <v>34.499238243295757</v>
      </c>
      <c r="F14" s="11">
        <f>('4 - Balance Sheet'!F10/'3 - Income Statement'!F8) *365</f>
        <v>38.350109543423009</v>
      </c>
      <c r="G14" s="11">
        <f>('4 - Balance Sheet'!G10/'3 - Income Statement'!G8) *365</f>
        <v>36.041450538939785</v>
      </c>
      <c r="H14" s="61">
        <f>('4 - Balance Sheet'!H10/'3 - Income Statement'!H8) *365</f>
        <v>41.513121081372617</v>
      </c>
      <c r="I14" s="2">
        <v>36.200000000000003</v>
      </c>
      <c r="J14" s="2">
        <v>36.200000000000003</v>
      </c>
      <c r="K14" s="2">
        <v>36.200000000000003</v>
      </c>
      <c r="L14" s="2">
        <v>36.200000000000003</v>
      </c>
      <c r="M14" s="2">
        <v>36.200000000000003</v>
      </c>
      <c r="N14" s="2"/>
    </row>
    <row r="15" spans="1:14" x14ac:dyDescent="0.15">
      <c r="A15" s="2" t="s">
        <v>19</v>
      </c>
      <c r="B15" s="2"/>
      <c r="C15" s="2"/>
      <c r="D15" s="11">
        <f>('6 - Supporting Schedules'!D10/'3 - Income Statement'!D9) * 365 * -1</f>
        <v>56.489155052264813</v>
      </c>
      <c r="E15" s="11">
        <f>('6 - Supporting Schedules'!E10/'3 - Income Statement'!E9) * 365 * -1</f>
        <v>60.291255065362023</v>
      </c>
      <c r="F15" s="11">
        <f>('6 - Supporting Schedules'!F10/'3 - Income Statement'!F9) * 365 * -1</f>
        <v>64.031072481763147</v>
      </c>
      <c r="G15" s="11">
        <f>('6 - Supporting Schedules'!G10/'3 - Income Statement'!G9) * 365 * -1</f>
        <v>67.543708616126722</v>
      </c>
      <c r="H15" s="61">
        <f>('6 - Supporting Schedules'!H10/'3 - Income Statement'!H9) * 365 * -1</f>
        <v>55.075830738928772</v>
      </c>
      <c r="I15" s="12">
        <v>61</v>
      </c>
      <c r="J15" s="12">
        <v>61</v>
      </c>
      <c r="K15" s="12">
        <v>61</v>
      </c>
      <c r="L15" s="12">
        <v>61</v>
      </c>
      <c r="M15" s="12">
        <v>61</v>
      </c>
      <c r="N15" s="2"/>
    </row>
    <row r="16" spans="1:14" x14ac:dyDescent="0.15">
      <c r="A16" s="2" t="s">
        <v>20</v>
      </c>
      <c r="B16" s="2"/>
      <c r="C16" s="2"/>
      <c r="D16" s="11">
        <f>('4 - Balance Sheet'!D19/'3 - Income Statement'!D9) * 365 *-1</f>
        <v>107.3083042973287</v>
      </c>
      <c r="E16" s="11">
        <f>('4 - Balance Sheet'!E19/'3 - Income Statement'!E9) * 365 *-1</f>
        <v>112.83582244833201</v>
      </c>
      <c r="F16" s="11">
        <f>('4 - Balance Sheet'!F19/'3 - Income Statement'!F9) * 365 *-1</f>
        <v>129.52486419369856</v>
      </c>
      <c r="G16" s="11">
        <f>('4 - Balance Sheet'!G19/'3 - Income Statement'!G9) * 365 *-1</f>
        <v>133.83429888515857</v>
      </c>
      <c r="H16" s="61">
        <f>('4 - Balance Sheet'!H19/'3 - Income Statement'!H9) * 365 *-1</f>
        <v>149.76502636762183</v>
      </c>
      <c r="I16" s="11">
        <v>145</v>
      </c>
      <c r="J16" s="11">
        <v>140</v>
      </c>
      <c r="K16" s="11">
        <v>135</v>
      </c>
      <c r="L16" s="11">
        <v>130</v>
      </c>
      <c r="M16" s="11">
        <v>125</v>
      </c>
      <c r="N16" s="2">
        <v>1</v>
      </c>
    </row>
    <row r="17" spans="1:14" x14ac:dyDescent="0.15">
      <c r="A17" s="2" t="s">
        <v>21</v>
      </c>
      <c r="B17" s="2"/>
      <c r="C17" s="2"/>
      <c r="D17" s="9">
        <f>'5 - Cashflow Statement'!D16/'3 - Income Statement'!D8 * -1</f>
        <v>2.1127492042218126E-2</v>
      </c>
      <c r="E17" s="9">
        <f>'5 - Cashflow Statement'!E16/'3 - Income Statement'!E8 * -1</f>
        <v>2.4237854644383987E-2</v>
      </c>
      <c r="F17" s="9">
        <f>'5 - Cashflow Statement'!F16/'3 - Income Statement'!F8 * -1</f>
        <v>2.3104022434493034E-2</v>
      </c>
      <c r="G17" s="9">
        <f>'5 - Cashflow Statement'!G16/'3 - Income Statement'!G8 * -1</f>
        <v>2.631424051797079E-2</v>
      </c>
      <c r="H17" s="60">
        <f>'5 - Cashflow Statement'!H16/'3 - Income Statement'!H8 * -1</f>
        <v>2.8057372075776986E-2</v>
      </c>
      <c r="I17" s="8">
        <v>2.4E-2</v>
      </c>
      <c r="J17" s="8">
        <v>2.4E-2</v>
      </c>
      <c r="K17" s="8">
        <v>2.4E-2</v>
      </c>
      <c r="L17" s="8">
        <v>2.4E-2</v>
      </c>
      <c r="M17" s="8">
        <v>2.4E-2</v>
      </c>
      <c r="N17" s="2"/>
    </row>
    <row r="18" spans="1:14" x14ac:dyDescent="0.15">
      <c r="A18" s="2" t="s">
        <v>22</v>
      </c>
      <c r="B18" s="2"/>
      <c r="C18" s="2"/>
      <c r="D18" s="2">
        <f>'6 - Supporting Schedules'!D23+'6 - Supporting Schedules'!D24</f>
        <v>1582.0999999999995</v>
      </c>
      <c r="E18" s="2">
        <f>'6 - Supporting Schedules'!E23+'6 - Supporting Schedules'!E24</f>
        <v>-1849.2000000000007</v>
      </c>
      <c r="F18" s="2">
        <f>'6 - Supporting Schedules'!F23+'6 - Supporting Schedules'!F24</f>
        <v>102.69999999999982</v>
      </c>
      <c r="G18" s="2">
        <f>'6 - Supporting Schedules'!G23+'6 - Supporting Schedules'!G24</f>
        <v>643.39999999999964</v>
      </c>
      <c r="H18" s="58">
        <f>'6 - Supporting Schedules'!H23+'6 - Supporting Schedules'!H24</f>
        <v>-2112.3999999999996</v>
      </c>
      <c r="I18" s="2">
        <v>-326.68000000000029</v>
      </c>
      <c r="J18" s="2">
        <v>-326.68000000000029</v>
      </c>
      <c r="K18" s="2">
        <v>-326.68000000000029</v>
      </c>
      <c r="L18" s="2">
        <v>-326.68000000000029</v>
      </c>
      <c r="M18" s="2">
        <v>-326.68000000000029</v>
      </c>
      <c r="N18" s="2"/>
    </row>
    <row r="19" spans="1:14" x14ac:dyDescent="0.15">
      <c r="A19" s="2" t="s">
        <v>23</v>
      </c>
      <c r="B19" s="2"/>
      <c r="C19" s="2"/>
      <c r="D19" s="2">
        <v>0</v>
      </c>
      <c r="E19" s="2">
        <v>0</v>
      </c>
      <c r="F19" s="2">
        <v>0</v>
      </c>
      <c r="G19" s="2">
        <v>0</v>
      </c>
      <c r="H19" s="58">
        <v>0</v>
      </c>
      <c r="I19" s="2">
        <v>0</v>
      </c>
      <c r="J19" s="2">
        <v>0</v>
      </c>
      <c r="K19" s="2">
        <v>0</v>
      </c>
      <c r="L19" s="2">
        <v>0</v>
      </c>
      <c r="M19" s="2">
        <v>0</v>
      </c>
      <c r="N19" s="2"/>
    </row>
    <row r="20" spans="1:14" x14ac:dyDescent="0.15">
      <c r="A20" s="2" t="s">
        <v>24</v>
      </c>
      <c r="B20" s="2"/>
      <c r="C20" s="2"/>
      <c r="D20" s="13">
        <v>-3435</v>
      </c>
      <c r="E20" s="13">
        <v>-1615.8</v>
      </c>
      <c r="F20" s="13">
        <v>-1663.7</v>
      </c>
      <c r="G20" s="13">
        <v>-1562.2</v>
      </c>
      <c r="H20" s="62">
        <v>-1774</v>
      </c>
      <c r="I20" s="2">
        <v>-2010.14</v>
      </c>
      <c r="J20" s="2">
        <v>-2010.14</v>
      </c>
      <c r="K20" s="2">
        <v>-2010.14</v>
      </c>
      <c r="L20" s="2">
        <v>-2010.14</v>
      </c>
      <c r="M20" s="2">
        <v>-2010.14</v>
      </c>
      <c r="N20" s="2"/>
    </row>
    <row r="21" spans="1:14" x14ac:dyDescent="0.15">
      <c r="A21" s="2" t="s">
        <v>25</v>
      </c>
      <c r="B21" s="2"/>
      <c r="C21" s="2"/>
      <c r="D21" s="2">
        <v>365</v>
      </c>
      <c r="E21" s="2">
        <v>365</v>
      </c>
      <c r="F21" s="2">
        <v>365</v>
      </c>
      <c r="G21" s="2">
        <v>365</v>
      </c>
      <c r="H21" s="58">
        <v>365</v>
      </c>
      <c r="I21" s="2">
        <v>365</v>
      </c>
      <c r="J21" s="2">
        <v>365</v>
      </c>
      <c r="K21" s="2">
        <v>365</v>
      </c>
      <c r="L21" s="2">
        <v>365</v>
      </c>
      <c r="M21" s="2">
        <v>365</v>
      </c>
      <c r="N21" s="2"/>
    </row>
    <row r="22" spans="1:14" x14ac:dyDescent="0.15">
      <c r="A22" s="2"/>
      <c r="B22" s="2"/>
      <c r="C22" s="2"/>
      <c r="D22" s="2"/>
      <c r="E22" s="2"/>
      <c r="F22" s="2"/>
      <c r="G22" s="2"/>
      <c r="H22" s="2"/>
      <c r="I22" s="2"/>
      <c r="J22" s="2"/>
      <c r="K22" s="2"/>
      <c r="L22" s="2"/>
      <c r="M22" s="2"/>
      <c r="N22" s="2"/>
    </row>
    <row r="23" spans="1:14" x14ac:dyDescent="0.15">
      <c r="A23" s="2"/>
      <c r="B23" s="2"/>
      <c r="C23" s="2"/>
      <c r="D23" s="2"/>
      <c r="E23" s="2"/>
      <c r="F23" s="2"/>
      <c r="G23" s="2"/>
      <c r="H23" s="2"/>
      <c r="I23" s="2"/>
      <c r="J23" s="2"/>
      <c r="K23" s="2"/>
      <c r="L23" s="2"/>
      <c r="M23" s="2"/>
      <c r="N23" s="2"/>
    </row>
    <row r="24" spans="1:14" x14ac:dyDescent="0.15">
      <c r="A24" s="2"/>
      <c r="B24" s="2"/>
      <c r="C24" s="2"/>
      <c r="D24" s="2"/>
      <c r="E24" s="2"/>
      <c r="F24" s="2"/>
      <c r="G24" s="2"/>
      <c r="H24" s="2"/>
      <c r="I24" s="2"/>
      <c r="J24" s="2"/>
      <c r="K24" s="2"/>
      <c r="L24" s="2"/>
      <c r="M24" s="2"/>
      <c r="N24" s="2"/>
    </row>
    <row r="25" spans="1:14" x14ac:dyDescent="0.15">
      <c r="A25" s="2"/>
      <c r="B25" s="2"/>
      <c r="C25" s="2"/>
      <c r="D25" s="2"/>
      <c r="E25" s="2"/>
      <c r="F25" s="2"/>
      <c r="G25" s="2"/>
      <c r="H25" s="2"/>
      <c r="I25" s="2"/>
      <c r="J25" s="2"/>
      <c r="K25" s="2"/>
      <c r="L25" s="2"/>
      <c r="M25" s="2"/>
      <c r="N25" s="2"/>
    </row>
    <row r="26" spans="1:14" x14ac:dyDescent="0.15">
      <c r="A26" s="2"/>
      <c r="B26" s="2"/>
      <c r="C26" s="2"/>
      <c r="D26" s="2"/>
      <c r="E26" s="2"/>
      <c r="F26" s="2"/>
      <c r="G26" s="2"/>
      <c r="H26" s="2"/>
      <c r="I26" s="2"/>
      <c r="J26" s="2"/>
      <c r="K26" s="2"/>
      <c r="L26" s="2"/>
      <c r="M26" s="2"/>
      <c r="N26" s="2"/>
    </row>
    <row r="27" spans="1:14" x14ac:dyDescent="0.15">
      <c r="A27" s="2" t="s">
        <v>26</v>
      </c>
      <c r="B27" s="2"/>
      <c r="C27" s="2"/>
      <c r="D27" s="2"/>
      <c r="E27" s="2"/>
      <c r="F27" s="2"/>
      <c r="G27" s="2"/>
      <c r="H27" s="2"/>
      <c r="I27" s="2"/>
      <c r="J27" s="2"/>
      <c r="K27" s="2"/>
      <c r="L27" s="2"/>
      <c r="M27" s="2"/>
      <c r="N27" s="2"/>
    </row>
    <row r="28" spans="1:14" x14ac:dyDescent="0.15">
      <c r="A28" s="2">
        <v>1</v>
      </c>
      <c r="B28" s="2" t="s">
        <v>27</v>
      </c>
      <c r="C28" s="2"/>
      <c r="D28" s="2"/>
      <c r="E28" s="2"/>
      <c r="F28" s="2"/>
      <c r="G28" s="2"/>
      <c r="H28" s="2"/>
      <c r="I28" s="2"/>
      <c r="J28" s="2"/>
      <c r="K28" s="2"/>
      <c r="L28" s="2"/>
      <c r="M28" s="2"/>
      <c r="N28" s="2"/>
    </row>
    <row r="29" spans="1:14" x14ac:dyDescent="0.15">
      <c r="A29" s="2"/>
      <c r="B29" s="2"/>
      <c r="C29" s="2"/>
      <c r="D29" s="2"/>
      <c r="E29" s="2"/>
      <c r="F29" s="2"/>
      <c r="G29" s="2"/>
      <c r="H29" s="2"/>
      <c r="I29" s="2"/>
      <c r="J29" s="2"/>
      <c r="K29" s="2"/>
      <c r="L29" s="2"/>
      <c r="M29" s="2"/>
      <c r="N29" s="2"/>
    </row>
    <row r="30" spans="1:14" x14ac:dyDescent="0.15">
      <c r="A30" s="2"/>
      <c r="B30" s="2"/>
      <c r="C30" s="2"/>
      <c r="D30" s="2"/>
      <c r="E30" s="2"/>
      <c r="F30" s="2"/>
      <c r="G30" s="2"/>
      <c r="H30" s="2"/>
      <c r="I30" s="2"/>
      <c r="J30" s="2"/>
      <c r="K30" s="2"/>
      <c r="L30" s="2"/>
      <c r="M30" s="2"/>
      <c r="N30" s="2"/>
    </row>
    <row r="31" spans="1:14" x14ac:dyDescent="0.15">
      <c r="A31" s="2"/>
      <c r="B31" s="2"/>
      <c r="C31" s="2"/>
      <c r="D31" s="2"/>
      <c r="E31" s="2"/>
      <c r="F31" s="2"/>
      <c r="G31" s="2"/>
      <c r="H31" s="2"/>
      <c r="I31" s="2"/>
      <c r="J31" s="2"/>
      <c r="K31" s="2"/>
      <c r="L31" s="2"/>
      <c r="M31" s="2"/>
      <c r="N31" s="2"/>
    </row>
    <row r="32" spans="1:14" x14ac:dyDescent="0.15">
      <c r="A32" s="2"/>
      <c r="B32" s="2"/>
      <c r="C32" s="14"/>
      <c r="D32" s="14"/>
      <c r="E32" s="14"/>
      <c r="F32" s="14"/>
      <c r="G32" s="14"/>
      <c r="H32" s="14"/>
      <c r="I32" s="14"/>
      <c r="J32" s="2"/>
      <c r="K32" s="14"/>
      <c r="L32" s="2"/>
      <c r="M32" s="2"/>
      <c r="N32" s="2"/>
    </row>
    <row r="33" spans="1:14" x14ac:dyDescent="0.15">
      <c r="A33" s="2"/>
      <c r="B33" s="2"/>
      <c r="C33" s="14"/>
      <c r="D33" s="14"/>
      <c r="E33" s="14"/>
      <c r="F33" s="14"/>
      <c r="G33" s="14"/>
      <c r="H33" s="14"/>
      <c r="I33" s="14"/>
      <c r="J33" s="2"/>
      <c r="K33" s="14"/>
      <c r="L33" s="2"/>
      <c r="M33" s="2"/>
      <c r="N33" s="2"/>
    </row>
    <row r="34" spans="1:14" x14ac:dyDescent="0.15">
      <c r="A34" s="2"/>
      <c r="B34" s="2"/>
      <c r="C34" s="2"/>
      <c r="D34" s="2"/>
      <c r="E34" s="2"/>
      <c r="F34" s="2"/>
      <c r="G34" s="2"/>
      <c r="H34" s="2"/>
      <c r="I34" s="2"/>
      <c r="J34" s="2"/>
      <c r="K34" s="2"/>
      <c r="L34" s="2"/>
      <c r="M34" s="2"/>
      <c r="N34" s="2"/>
    </row>
    <row r="35" spans="1:14" x14ac:dyDescent="0.15">
      <c r="A35" s="2"/>
      <c r="B35" s="2"/>
      <c r="C35" s="2"/>
      <c r="D35" s="2"/>
      <c r="E35" s="2"/>
      <c r="F35" s="2"/>
      <c r="G35" s="2"/>
      <c r="H35" s="2"/>
      <c r="I35" s="2"/>
      <c r="J35" s="2"/>
      <c r="K35" s="2"/>
      <c r="L35" s="2"/>
      <c r="M35" s="2"/>
      <c r="N35" s="2"/>
    </row>
    <row r="36" spans="1:14" x14ac:dyDescent="0.15">
      <c r="A36" s="2"/>
      <c r="B36" s="2"/>
      <c r="C36" s="2"/>
      <c r="D36" s="2"/>
      <c r="E36" s="2"/>
      <c r="F36" s="2"/>
      <c r="G36" s="2"/>
      <c r="H36" s="2"/>
      <c r="I36" s="2"/>
      <c r="J36" s="2"/>
      <c r="K36" s="2"/>
      <c r="L36" s="2"/>
      <c r="M36" s="2"/>
      <c r="N36" s="2"/>
    </row>
    <row r="37" spans="1:14" x14ac:dyDescent="0.15">
      <c r="A37" s="2"/>
      <c r="B37" s="2"/>
      <c r="C37" s="2"/>
      <c r="D37" s="2"/>
      <c r="E37" s="2"/>
      <c r="F37" s="2"/>
      <c r="G37" s="2"/>
      <c r="H37" s="2"/>
      <c r="I37" s="2"/>
      <c r="J37" s="2"/>
      <c r="K37" s="2"/>
      <c r="L37" s="2"/>
      <c r="M37" s="2"/>
      <c r="N37" s="2"/>
    </row>
    <row r="38" spans="1:14" x14ac:dyDescent="0.15">
      <c r="A38" s="2"/>
      <c r="B38" s="2"/>
      <c r="C38" s="2"/>
      <c r="D38" s="2"/>
      <c r="E38" s="2"/>
      <c r="F38" s="2"/>
      <c r="G38" s="2"/>
      <c r="H38" s="2"/>
      <c r="I38" s="2"/>
      <c r="J38" s="2"/>
      <c r="K38" s="2"/>
      <c r="L38" s="2"/>
      <c r="M38" s="2"/>
      <c r="N38" s="2"/>
    </row>
    <row r="39" spans="1:14" x14ac:dyDescent="0.15">
      <c r="A39" s="2"/>
      <c r="B39" s="2"/>
      <c r="C39" s="2"/>
      <c r="D39" s="2"/>
      <c r="E39" s="2"/>
      <c r="F39" s="2"/>
      <c r="G39" s="2"/>
      <c r="H39" s="2"/>
      <c r="I39" s="2"/>
      <c r="J39" s="2"/>
      <c r="K39" s="2"/>
      <c r="L39" s="2"/>
      <c r="M39" s="2"/>
      <c r="N39" s="2"/>
    </row>
    <row r="40" spans="1:14" x14ac:dyDescent="0.15">
      <c r="A40" s="2"/>
      <c r="B40" s="2"/>
      <c r="C40" s="2"/>
      <c r="D40" s="2"/>
      <c r="E40" s="2"/>
      <c r="F40" s="2"/>
      <c r="G40" s="2"/>
      <c r="H40" s="2"/>
      <c r="I40" s="2"/>
      <c r="J40" s="2"/>
      <c r="K40" s="2"/>
      <c r="L40" s="2"/>
      <c r="M40" s="2"/>
      <c r="N40" s="2"/>
    </row>
    <row r="41" spans="1:14" x14ac:dyDescent="0.15">
      <c r="A41" s="3"/>
      <c r="B41" s="3"/>
      <c r="C41" s="3"/>
      <c r="D41" s="3"/>
      <c r="E41" s="3"/>
      <c r="F41" s="3"/>
      <c r="G41" s="3"/>
      <c r="H41" s="3"/>
      <c r="I41" s="3"/>
      <c r="J41" s="3"/>
      <c r="K41" s="3"/>
      <c r="L41" s="3"/>
      <c r="M41" s="4" t="s">
        <v>4</v>
      </c>
      <c r="N41" s="3">
        <v>2</v>
      </c>
    </row>
  </sheetData>
  <mergeCells count="8">
    <mergeCell ref="I4:M4"/>
    <mergeCell ref="G2:I2"/>
    <mergeCell ref="A1:D2"/>
    <mergeCell ref="E2:F2"/>
    <mergeCell ref="E1:F1"/>
    <mergeCell ref="J1:N2"/>
    <mergeCell ref="D4:H4"/>
    <mergeCell ref="G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0"/>
  <sheetViews>
    <sheetView zoomScale="143" workbookViewId="0">
      <selection activeCell="A16" sqref="A16:C16"/>
    </sheetView>
  </sheetViews>
  <sheetFormatPr baseColWidth="10" defaultRowHeight="14" x14ac:dyDescent="0.15"/>
  <cols>
    <col min="1" max="31" width="10.83203125" style="15" customWidth="1"/>
    <col min="32" max="16384" width="10.83203125" style="15"/>
  </cols>
  <sheetData>
    <row r="1" spans="1:14" ht="16" customHeight="1" thickBot="1" x14ac:dyDescent="0.25">
      <c r="A1" s="45" t="s">
        <v>28</v>
      </c>
      <c r="B1" s="30"/>
      <c r="C1" s="30"/>
      <c r="D1" s="31"/>
      <c r="E1" s="48" t="s">
        <v>0</v>
      </c>
      <c r="F1" s="30"/>
      <c r="G1" s="50">
        <v>46157</v>
      </c>
      <c r="H1" s="30"/>
      <c r="I1" s="30"/>
      <c r="J1" s="52" t="s">
        <v>1</v>
      </c>
      <c r="K1" s="30"/>
      <c r="L1" s="30"/>
      <c r="M1" s="30"/>
      <c r="N1" s="37"/>
    </row>
    <row r="2" spans="1:14" ht="16" customHeight="1" thickBot="1" x14ac:dyDescent="0.25">
      <c r="A2" s="32"/>
      <c r="B2" s="28"/>
      <c r="C2" s="28"/>
      <c r="D2" s="33"/>
      <c r="E2" s="51" t="s">
        <v>2</v>
      </c>
      <c r="F2" s="28"/>
      <c r="G2" s="53" t="s">
        <v>3</v>
      </c>
      <c r="H2" s="28"/>
      <c r="I2" s="28"/>
      <c r="J2" s="38"/>
      <c r="K2" s="28"/>
      <c r="L2" s="28"/>
      <c r="M2" s="28"/>
      <c r="N2" s="39"/>
    </row>
    <row r="3" spans="1:14" x14ac:dyDescent="0.15">
      <c r="A3" s="16"/>
      <c r="B3" s="16"/>
      <c r="C3" s="16"/>
      <c r="D3" s="16"/>
      <c r="E3" s="16"/>
      <c r="F3" s="16"/>
      <c r="G3" s="16"/>
      <c r="H3" s="16"/>
      <c r="I3" s="16"/>
      <c r="J3" s="16"/>
      <c r="K3" s="16"/>
      <c r="L3" s="16"/>
      <c r="M3" s="16"/>
      <c r="N3" s="16"/>
    </row>
    <row r="4" spans="1:14" ht="16" customHeight="1" x14ac:dyDescent="0.2">
      <c r="A4" s="5"/>
      <c r="B4" s="5"/>
      <c r="C4" s="5"/>
      <c r="D4" s="43" t="s">
        <v>7</v>
      </c>
      <c r="E4" s="47"/>
      <c r="F4" s="47"/>
      <c r="G4" s="47"/>
      <c r="H4" s="44"/>
      <c r="I4" s="41" t="s">
        <v>8</v>
      </c>
      <c r="J4" s="47"/>
      <c r="K4" s="47"/>
      <c r="L4" s="47"/>
      <c r="M4" s="47"/>
      <c r="N4" s="16"/>
    </row>
    <row r="5" spans="1:14" ht="16" customHeight="1" x14ac:dyDescent="0.2">
      <c r="A5" s="5" t="s">
        <v>29</v>
      </c>
      <c r="B5" s="5"/>
      <c r="C5" s="5"/>
      <c r="D5" s="5"/>
      <c r="E5" s="5"/>
      <c r="F5" s="5"/>
      <c r="G5" s="5"/>
      <c r="H5" s="5"/>
      <c r="I5" s="5"/>
      <c r="J5" s="5"/>
      <c r="K5" s="5"/>
      <c r="L5" s="5"/>
      <c r="M5" s="5"/>
      <c r="N5" s="16"/>
    </row>
    <row r="6" spans="1:14" ht="17" customHeight="1" thickBot="1" x14ac:dyDescent="0.25">
      <c r="A6" s="6" t="s">
        <v>10</v>
      </c>
      <c r="B6" s="6"/>
      <c r="C6" s="6"/>
      <c r="D6" s="6">
        <v>2021</v>
      </c>
      <c r="E6" s="6">
        <v>2022</v>
      </c>
      <c r="F6" s="6">
        <v>2023</v>
      </c>
      <c r="G6" s="6">
        <v>2024</v>
      </c>
      <c r="H6" s="6">
        <v>2025</v>
      </c>
      <c r="I6" s="6">
        <v>2026</v>
      </c>
      <c r="J6" s="6">
        <v>2027</v>
      </c>
      <c r="K6" s="6">
        <v>2028</v>
      </c>
      <c r="L6" s="6">
        <v>2029</v>
      </c>
      <c r="M6" s="6">
        <v>2030</v>
      </c>
      <c r="N6" s="16"/>
    </row>
    <row r="7" spans="1:14" x14ac:dyDescent="0.15">
      <c r="A7" s="16"/>
      <c r="B7" s="16"/>
      <c r="C7" s="16"/>
      <c r="D7" s="16"/>
      <c r="E7" s="16"/>
      <c r="F7" s="16"/>
      <c r="G7" s="16"/>
      <c r="H7" s="16"/>
      <c r="I7" s="16"/>
      <c r="J7" s="16"/>
      <c r="K7" s="16"/>
      <c r="L7" s="16"/>
      <c r="M7" s="16"/>
      <c r="N7" s="16"/>
    </row>
    <row r="8" spans="1:14" x14ac:dyDescent="0.15">
      <c r="A8" s="46" t="s">
        <v>30</v>
      </c>
      <c r="B8" s="47"/>
      <c r="C8" s="47"/>
      <c r="D8" s="16">
        <v>59690</v>
      </c>
      <c r="E8" s="16">
        <v>64325</v>
      </c>
      <c r="F8" s="16">
        <v>57055</v>
      </c>
      <c r="G8" s="16">
        <v>54366</v>
      </c>
      <c r="H8" s="63">
        <v>59332</v>
      </c>
      <c r="I8" s="16">
        <f>H8+H8*'2 - Assumptions and Notes'!I8</f>
        <v>61764.612000000001</v>
      </c>
      <c r="J8" s="16">
        <f>I8+I8*'2 - Assumptions and Notes'!J8</f>
        <v>64296.961091999998</v>
      </c>
      <c r="K8" s="16">
        <f>J8+J8*'2 - Assumptions and Notes'!K8</f>
        <v>66933.136496772</v>
      </c>
      <c r="L8" s="16">
        <f>K8+K8*'2 - Assumptions and Notes'!L8</f>
        <v>69677.395093139654</v>
      </c>
      <c r="M8" s="16">
        <f>L8+L8*'2 - Assumptions and Notes'!M8</f>
        <v>72534.168291958384</v>
      </c>
      <c r="N8" s="16"/>
    </row>
    <row r="9" spans="1:14" x14ac:dyDescent="0.15">
      <c r="A9" s="46" t="s">
        <v>31</v>
      </c>
      <c r="B9" s="47"/>
      <c r="C9" s="47"/>
      <c r="D9" s="16">
        <v>-34440</v>
      </c>
      <c r="E9" s="16">
        <v>-38447.4</v>
      </c>
      <c r="F9" s="16">
        <v>-32215</v>
      </c>
      <c r="G9" s="16">
        <v>-28981.7</v>
      </c>
      <c r="H9" s="63">
        <v>-31478</v>
      </c>
      <c r="I9" s="16">
        <f>'2 - Assumptions and Notes'!I9*'3 - Income Statement'!I8*-1</f>
        <v>-34588.182720000004</v>
      </c>
      <c r="J9" s="16">
        <f>'2 - Assumptions and Notes'!J9*'3 - Income Statement'!J8*-1</f>
        <v>-36006.298211519999</v>
      </c>
      <c r="K9" s="16">
        <f>'2 - Assumptions and Notes'!K9*'3 - Income Statement'!K8*-1</f>
        <v>-37482.556438192325</v>
      </c>
      <c r="L9" s="16">
        <f>'2 - Assumptions and Notes'!L9*'3 - Income Statement'!L8*-1</f>
        <v>-39019.341252158207</v>
      </c>
      <c r="M9" s="16">
        <f>'2 - Assumptions and Notes'!M9*'3 - Income Statement'!M8*-1</f>
        <v>-40619.134243496701</v>
      </c>
      <c r="N9" s="16"/>
    </row>
    <row r="10" spans="1:14" x14ac:dyDescent="0.15">
      <c r="A10" s="46" t="s">
        <v>32</v>
      </c>
      <c r="B10" s="47"/>
      <c r="C10" s="47"/>
      <c r="D10" s="16">
        <f t="shared" ref="D10:M10" si="0">D8+D9</f>
        <v>25250</v>
      </c>
      <c r="E10" s="16">
        <f t="shared" si="0"/>
        <v>25877.599999999999</v>
      </c>
      <c r="F10" s="16">
        <f t="shared" si="0"/>
        <v>24840</v>
      </c>
      <c r="G10" s="16">
        <f t="shared" si="0"/>
        <v>25384.3</v>
      </c>
      <c r="H10" s="63">
        <f t="shared" si="0"/>
        <v>27854</v>
      </c>
      <c r="I10" s="16">
        <f t="shared" si="0"/>
        <v>27176.429279999997</v>
      </c>
      <c r="J10" s="16">
        <f t="shared" si="0"/>
        <v>28290.662880479998</v>
      </c>
      <c r="K10" s="16">
        <f t="shared" si="0"/>
        <v>29450.580058579675</v>
      </c>
      <c r="L10" s="16">
        <f t="shared" si="0"/>
        <v>30658.053840981447</v>
      </c>
      <c r="M10" s="16">
        <f t="shared" si="0"/>
        <v>31915.034048461683</v>
      </c>
      <c r="N10" s="16"/>
    </row>
    <row r="11" spans="1:14" x14ac:dyDescent="0.15">
      <c r="A11" s="46" t="s">
        <v>33</v>
      </c>
      <c r="B11" s="47"/>
      <c r="C11" s="47"/>
      <c r="D11" s="16">
        <v>-14281.8</v>
      </c>
      <c r="E11" s="18">
        <v>-15692.3</v>
      </c>
      <c r="F11" s="16">
        <v>-14600.4</v>
      </c>
      <c r="G11" s="16">
        <v>-14736.4</v>
      </c>
      <c r="H11" s="63">
        <v>-15956.3</v>
      </c>
      <c r="I11" s="16">
        <f>-1*'2 - Assumptions and Notes'!I10*'3 - Income Statement'!I8</f>
        <v>-15811.740672</v>
      </c>
      <c r="J11" s="16">
        <f>-1*'2 - Assumptions and Notes'!J10*'3 - Income Statement'!J8</f>
        <v>-16460.022039552001</v>
      </c>
      <c r="K11" s="16">
        <f>-1*'2 - Assumptions and Notes'!K10*'3 - Income Statement'!K8</f>
        <v>-17134.882943173634</v>
      </c>
      <c r="L11" s="16">
        <f>-1*'2 - Assumptions and Notes'!L10*'3 - Income Statement'!L8</f>
        <v>-17837.413143843751</v>
      </c>
      <c r="M11" s="16">
        <f>-1*'2 - Assumptions and Notes'!M10*'3 - Income Statement'!M8</f>
        <v>-18568.747082741345</v>
      </c>
      <c r="N11" s="16"/>
    </row>
    <row r="12" spans="1:14" x14ac:dyDescent="0.15">
      <c r="A12" s="46" t="s">
        <v>34</v>
      </c>
      <c r="B12" s="47"/>
      <c r="C12" s="47"/>
      <c r="D12" s="16">
        <f t="shared" ref="D12:M12" si="1">D10+D11</f>
        <v>10968.2</v>
      </c>
      <c r="E12" s="16">
        <f t="shared" si="1"/>
        <v>10185.299999999999</v>
      </c>
      <c r="F12" s="16">
        <f t="shared" si="1"/>
        <v>10239.6</v>
      </c>
      <c r="G12" s="16">
        <f t="shared" si="1"/>
        <v>10647.9</v>
      </c>
      <c r="H12" s="63">
        <f t="shared" si="1"/>
        <v>11897.7</v>
      </c>
      <c r="I12" s="16">
        <f t="shared" si="1"/>
        <v>11364.688607999997</v>
      </c>
      <c r="J12" s="16">
        <f t="shared" si="1"/>
        <v>11830.640840927997</v>
      </c>
      <c r="K12" s="16">
        <f t="shared" si="1"/>
        <v>12315.697115406041</v>
      </c>
      <c r="L12" s="16">
        <f t="shared" si="1"/>
        <v>12820.640697137696</v>
      </c>
      <c r="M12" s="16">
        <f t="shared" si="1"/>
        <v>13346.286965720337</v>
      </c>
      <c r="N12" s="16"/>
    </row>
    <row r="13" spans="1:14" x14ac:dyDescent="0.15">
      <c r="A13" s="46"/>
      <c r="B13" s="47"/>
      <c r="C13" s="47"/>
      <c r="D13" s="16"/>
      <c r="E13" s="16"/>
      <c r="F13" s="16"/>
      <c r="G13" s="16"/>
      <c r="H13" s="63"/>
      <c r="I13" s="16"/>
      <c r="J13" s="16"/>
      <c r="K13" s="16"/>
      <c r="L13" s="16"/>
      <c r="M13" s="16"/>
      <c r="N13" s="16"/>
    </row>
    <row r="14" spans="1:14" x14ac:dyDescent="0.15">
      <c r="A14" s="17" t="s">
        <v>35</v>
      </c>
      <c r="B14" s="17"/>
      <c r="C14" s="17"/>
      <c r="D14" s="16">
        <v>-566.79999999999995</v>
      </c>
      <c r="E14" s="16">
        <v>-844.8</v>
      </c>
      <c r="F14" s="16">
        <v>-1054.3</v>
      </c>
      <c r="G14" s="16">
        <v>-1034.9000000000001</v>
      </c>
      <c r="H14" s="63">
        <v>-1289.9000000000001</v>
      </c>
      <c r="I14" s="16"/>
      <c r="J14" s="16"/>
      <c r="K14" s="16"/>
      <c r="L14" s="16"/>
      <c r="M14" s="16"/>
      <c r="N14" s="16"/>
    </row>
    <row r="15" spans="1:14" x14ac:dyDescent="0.15">
      <c r="A15" s="46" t="s">
        <v>36</v>
      </c>
      <c r="B15" s="47"/>
      <c r="C15" s="47"/>
      <c r="D15" s="16">
        <v>-1230.5999999999999</v>
      </c>
      <c r="E15" s="16">
        <v>883.60000000000036</v>
      </c>
      <c r="F15" s="16">
        <v>-716</v>
      </c>
      <c r="G15" s="16">
        <v>-1976.1</v>
      </c>
      <c r="H15" s="63">
        <v>-1683</v>
      </c>
      <c r="I15" s="16">
        <f>-1.7% * I8</f>
        <v>-1049.9984040000002</v>
      </c>
      <c r="J15" s="16">
        <f>-1.7% * J8</f>
        <v>-1093.048338564</v>
      </c>
      <c r="K15" s="16">
        <f>-1.7% * K8</f>
        <v>-1137.8633204451241</v>
      </c>
      <c r="L15" s="16">
        <f>-1.7% * L8</f>
        <v>-1184.5157165833741</v>
      </c>
      <c r="M15" s="16">
        <f>-1.7% * M8</f>
        <v>-1233.0808609632927</v>
      </c>
      <c r="N15" s="16"/>
    </row>
    <row r="16" spans="1:14" x14ac:dyDescent="0.15">
      <c r="A16" s="46" t="s">
        <v>37</v>
      </c>
      <c r="B16" s="47"/>
      <c r="C16" s="47"/>
      <c r="D16" s="16">
        <f t="shared" ref="D16:M16" si="2">D12+D15</f>
        <v>9737.6</v>
      </c>
      <c r="E16" s="16">
        <f t="shared" si="2"/>
        <v>11068.9</v>
      </c>
      <c r="F16" s="16">
        <f t="shared" si="2"/>
        <v>9523.6</v>
      </c>
      <c r="G16" s="16">
        <f t="shared" si="2"/>
        <v>8671.7999999999993</v>
      </c>
      <c r="H16" s="63">
        <f t="shared" si="2"/>
        <v>10214.700000000001</v>
      </c>
      <c r="I16" s="16">
        <f t="shared" si="2"/>
        <v>10314.690203999997</v>
      </c>
      <c r="J16" s="16">
        <f t="shared" si="2"/>
        <v>10737.592502363997</v>
      </c>
      <c r="K16" s="16">
        <f t="shared" si="2"/>
        <v>11177.833794960918</v>
      </c>
      <c r="L16" s="16">
        <f t="shared" si="2"/>
        <v>11636.124980554323</v>
      </c>
      <c r="M16" s="16">
        <f t="shared" si="2"/>
        <v>12113.206104757044</v>
      </c>
      <c r="N16" s="16"/>
    </row>
    <row r="17" spans="1:14" x14ac:dyDescent="0.15">
      <c r="A17" s="46" t="s">
        <v>38</v>
      </c>
      <c r="B17" s="47"/>
      <c r="C17" s="47"/>
      <c r="D17" s="16">
        <v>-2202</v>
      </c>
      <c r="E17" s="16">
        <v>-2215</v>
      </c>
      <c r="F17" s="16">
        <v>-2197</v>
      </c>
      <c r="G17" s="16">
        <v>-2416</v>
      </c>
      <c r="H17" s="63">
        <v>-2915</v>
      </c>
      <c r="I17" s="16">
        <f>'2 - Assumptions and Notes'!I13*I16*-1</f>
        <v>-2537.413790183999</v>
      </c>
      <c r="J17" s="16">
        <f>'2 - Assumptions and Notes'!J13*J16*-1</f>
        <v>-2641.4477555815433</v>
      </c>
      <c r="K17" s="16">
        <f>'2 - Assumptions and Notes'!K13*K16*-1</f>
        <v>-2749.7471135603855</v>
      </c>
      <c r="L17" s="16">
        <f>'2 - Assumptions and Notes'!L13*L16*-1</f>
        <v>-2862.4867452163635</v>
      </c>
      <c r="M17" s="16">
        <f>'2 - Assumptions and Notes'!M13*M16*-1</f>
        <v>-2979.8487017702328</v>
      </c>
      <c r="N17" s="16"/>
    </row>
    <row r="18" spans="1:14" x14ac:dyDescent="0.15">
      <c r="A18" s="46" t="s">
        <v>39</v>
      </c>
      <c r="B18" s="47"/>
      <c r="C18" s="47"/>
      <c r="D18" s="16">
        <f t="shared" ref="D18:M18" si="3">D16+D17</f>
        <v>7535.6</v>
      </c>
      <c r="E18" s="16">
        <f t="shared" si="3"/>
        <v>8853.9</v>
      </c>
      <c r="F18" s="16">
        <f t="shared" si="3"/>
        <v>7326.6</v>
      </c>
      <c r="G18" s="16">
        <f t="shared" si="3"/>
        <v>6255.7999999999993</v>
      </c>
      <c r="H18" s="63">
        <f t="shared" si="3"/>
        <v>7299.7000000000007</v>
      </c>
      <c r="I18" s="16">
        <f t="shared" si="3"/>
        <v>7777.2764138159982</v>
      </c>
      <c r="J18" s="16">
        <f t="shared" si="3"/>
        <v>8096.1447467824546</v>
      </c>
      <c r="K18" s="16">
        <f t="shared" si="3"/>
        <v>8428.0866814005312</v>
      </c>
      <c r="L18" s="16">
        <f t="shared" si="3"/>
        <v>8773.6382353379595</v>
      </c>
      <c r="M18" s="16">
        <f t="shared" si="3"/>
        <v>9133.3574029868105</v>
      </c>
      <c r="N18" s="16"/>
    </row>
    <row r="19" spans="1:14" x14ac:dyDescent="0.15">
      <c r="A19" s="46"/>
      <c r="B19" s="47"/>
      <c r="C19" s="47"/>
      <c r="D19" s="16"/>
      <c r="E19" s="16"/>
      <c r="F19" s="16"/>
      <c r="G19" s="16"/>
      <c r="H19" s="63"/>
      <c r="I19" s="16"/>
      <c r="J19" s="16"/>
      <c r="K19" s="16"/>
      <c r="L19" s="16"/>
      <c r="M19" s="16"/>
      <c r="N19" s="16"/>
    </row>
    <row r="20" spans="1:14" x14ac:dyDescent="0.15">
      <c r="A20" s="46" t="s">
        <v>40</v>
      </c>
      <c r="B20" s="47"/>
      <c r="C20" s="47"/>
      <c r="D20" s="16">
        <v>-651</v>
      </c>
      <c r="E20" s="16">
        <v>-671</v>
      </c>
      <c r="F20" s="16">
        <v>-165</v>
      </c>
      <c r="G20" s="16">
        <v>-306</v>
      </c>
      <c r="H20" s="63">
        <v>3825</v>
      </c>
      <c r="I20" s="16">
        <f>0.75% * I8 * -1</f>
        <v>-463.23458999999997</v>
      </c>
      <c r="J20" s="16">
        <f>0.75% * J8 * -1</f>
        <v>-482.22720818999994</v>
      </c>
      <c r="K20" s="16">
        <f>0.75% * K8 * -1</f>
        <v>-501.99852372578999</v>
      </c>
      <c r="L20" s="16">
        <f>0.75% * L8 * -1</f>
        <v>-522.58046319854736</v>
      </c>
      <c r="M20" s="16">
        <f>0.75% * M8 * -1</f>
        <v>-544.00626218968785</v>
      </c>
      <c r="N20" s="16">
        <v>1</v>
      </c>
    </row>
    <row r="21" spans="1:14" x14ac:dyDescent="0.15">
      <c r="A21" s="46" t="s">
        <v>41</v>
      </c>
      <c r="B21" s="47"/>
      <c r="C21" s="47"/>
      <c r="D21" s="16">
        <f t="shared" ref="D21:M21" si="4">D18+D20</f>
        <v>6884.6</v>
      </c>
      <c r="E21" s="16">
        <f t="shared" si="4"/>
        <v>8182.9</v>
      </c>
      <c r="F21" s="16">
        <f t="shared" si="4"/>
        <v>7161.6</v>
      </c>
      <c r="G21" s="16">
        <f t="shared" si="4"/>
        <v>5949.7999999999993</v>
      </c>
      <c r="H21" s="63">
        <f t="shared" si="4"/>
        <v>11124.7</v>
      </c>
      <c r="I21" s="16">
        <f t="shared" si="4"/>
        <v>7314.0418238159982</v>
      </c>
      <c r="J21" s="16">
        <f t="shared" si="4"/>
        <v>7613.9175385924545</v>
      </c>
      <c r="K21" s="16">
        <f t="shared" si="4"/>
        <v>7926.0881576747415</v>
      </c>
      <c r="L21" s="16">
        <f t="shared" si="4"/>
        <v>8251.0577721394129</v>
      </c>
      <c r="M21" s="16">
        <f t="shared" si="4"/>
        <v>8589.3511407971218</v>
      </c>
      <c r="N21" s="16"/>
    </row>
    <row r="22" spans="1:14" x14ac:dyDescent="0.15">
      <c r="A22" s="49"/>
      <c r="B22" s="47"/>
      <c r="C22" s="47"/>
      <c r="D22" s="16"/>
      <c r="E22" s="16"/>
      <c r="F22" s="16"/>
      <c r="G22" s="16"/>
      <c r="H22" s="16"/>
      <c r="I22" s="16"/>
      <c r="J22" s="16"/>
      <c r="K22" s="16"/>
      <c r="L22" s="16"/>
      <c r="M22" s="16"/>
      <c r="N22" s="16"/>
    </row>
    <row r="23" spans="1:14" x14ac:dyDescent="0.15">
      <c r="A23" s="16"/>
      <c r="B23" s="16"/>
      <c r="C23" s="16"/>
      <c r="D23" s="16"/>
      <c r="E23" s="16"/>
      <c r="F23" s="16"/>
      <c r="G23" s="16"/>
      <c r="H23" s="16"/>
      <c r="I23" s="16"/>
      <c r="J23" s="16"/>
      <c r="K23" s="16"/>
      <c r="L23" s="16"/>
      <c r="M23" s="16"/>
      <c r="N23" s="16"/>
    </row>
    <row r="24" spans="1:14" x14ac:dyDescent="0.15">
      <c r="A24" s="16"/>
      <c r="B24" s="16"/>
      <c r="C24" s="16"/>
      <c r="D24" s="16"/>
      <c r="E24" s="16"/>
      <c r="F24" s="16"/>
      <c r="G24" s="16"/>
      <c r="H24" s="16"/>
      <c r="I24" s="16"/>
      <c r="J24" s="16"/>
      <c r="K24" s="16"/>
      <c r="L24" s="16"/>
      <c r="M24" s="16"/>
      <c r="N24" s="16"/>
    </row>
    <row r="25" spans="1:14" x14ac:dyDescent="0.15">
      <c r="A25" s="16" t="s">
        <v>26</v>
      </c>
      <c r="B25" s="16"/>
      <c r="C25" s="16"/>
      <c r="D25" s="16"/>
      <c r="E25" s="16"/>
      <c r="F25" s="16"/>
      <c r="G25" s="16"/>
      <c r="H25" s="16"/>
      <c r="I25" s="16"/>
      <c r="J25" s="16"/>
      <c r="K25" s="16"/>
      <c r="L25" s="16"/>
      <c r="M25" s="16"/>
      <c r="N25" s="16"/>
    </row>
    <row r="26" spans="1:14" x14ac:dyDescent="0.15">
      <c r="A26" s="16">
        <v>1</v>
      </c>
      <c r="B26" s="16" t="s">
        <v>42</v>
      </c>
      <c r="C26" s="16"/>
      <c r="D26" s="16"/>
      <c r="E26" s="16"/>
      <c r="F26" s="16"/>
      <c r="G26" s="16"/>
      <c r="H26" s="16"/>
      <c r="I26" s="16"/>
      <c r="J26" s="16"/>
      <c r="K26" s="16"/>
      <c r="L26" s="16"/>
      <c r="M26" s="16"/>
      <c r="N26" s="16"/>
    </row>
    <row r="27" spans="1:14" x14ac:dyDescent="0.15">
      <c r="A27" s="16"/>
      <c r="B27" s="16"/>
      <c r="C27" s="16"/>
      <c r="D27" s="16"/>
      <c r="E27" s="16"/>
      <c r="F27" s="16"/>
      <c r="G27" s="16"/>
      <c r="H27" s="16"/>
      <c r="I27" s="16"/>
      <c r="J27" s="16"/>
      <c r="K27" s="16"/>
      <c r="L27" s="16"/>
      <c r="M27" s="16"/>
      <c r="N27" s="16"/>
    </row>
    <row r="28" spans="1:14" x14ac:dyDescent="0.15">
      <c r="A28" s="16"/>
      <c r="B28" s="16"/>
      <c r="C28" s="16"/>
      <c r="D28" s="16"/>
      <c r="E28" s="16"/>
      <c r="F28" s="16"/>
      <c r="G28" s="16"/>
      <c r="H28" s="16"/>
      <c r="I28" s="16"/>
      <c r="J28" s="16"/>
      <c r="K28" s="16"/>
      <c r="L28" s="16"/>
      <c r="M28" s="16"/>
      <c r="N28" s="16"/>
    </row>
    <row r="29" spans="1:14" x14ac:dyDescent="0.15">
      <c r="A29" s="16"/>
      <c r="B29" s="16"/>
      <c r="C29" s="16"/>
      <c r="D29" s="16"/>
      <c r="E29" s="16"/>
      <c r="F29" s="16"/>
      <c r="G29" s="16"/>
      <c r="H29" s="16"/>
      <c r="I29" s="16"/>
      <c r="J29" s="16"/>
      <c r="K29" s="16"/>
      <c r="L29" s="16"/>
      <c r="M29" s="16"/>
      <c r="N29" s="16"/>
    </row>
    <row r="30" spans="1:14" x14ac:dyDescent="0.15">
      <c r="A30" s="16"/>
      <c r="B30" s="16"/>
      <c r="C30" s="16"/>
      <c r="D30" s="16"/>
      <c r="E30" s="16"/>
      <c r="F30" s="16"/>
      <c r="G30" s="16"/>
      <c r="H30" s="16"/>
      <c r="I30" s="16"/>
      <c r="J30" s="16"/>
      <c r="K30" s="16"/>
      <c r="L30" s="16"/>
      <c r="M30" s="16"/>
      <c r="N30" s="16"/>
    </row>
    <row r="31" spans="1:14" x14ac:dyDescent="0.15">
      <c r="A31" s="16"/>
      <c r="B31" s="16"/>
      <c r="C31" s="16"/>
      <c r="D31" s="16"/>
      <c r="E31" s="16"/>
      <c r="F31" s="16"/>
      <c r="G31" s="16"/>
      <c r="H31" s="16"/>
      <c r="I31" s="16"/>
      <c r="J31" s="16"/>
      <c r="K31" s="16"/>
      <c r="L31" s="16"/>
      <c r="M31" s="16"/>
      <c r="N31" s="16"/>
    </row>
    <row r="32" spans="1:14" x14ac:dyDescent="0.15">
      <c r="A32" s="16"/>
      <c r="B32" s="16"/>
      <c r="C32" s="16"/>
      <c r="D32" s="16"/>
      <c r="E32" s="16"/>
      <c r="F32" s="16"/>
      <c r="G32" s="16"/>
      <c r="H32" s="16"/>
      <c r="I32" s="16"/>
      <c r="J32" s="16"/>
      <c r="K32" s="19"/>
      <c r="L32" s="16"/>
      <c r="M32" s="16"/>
      <c r="N32" s="16"/>
    </row>
    <row r="33" spans="1:14" x14ac:dyDescent="0.15">
      <c r="A33" s="16"/>
      <c r="B33" s="16"/>
      <c r="C33" s="16"/>
      <c r="D33" s="16"/>
      <c r="E33" s="16"/>
      <c r="F33" s="16"/>
      <c r="G33" s="16"/>
      <c r="H33" s="16"/>
      <c r="I33" s="16"/>
      <c r="J33" s="16"/>
      <c r="K33" s="16"/>
      <c r="L33" s="16"/>
      <c r="M33" s="16"/>
      <c r="N33" s="16"/>
    </row>
    <row r="34" spans="1:14" x14ac:dyDescent="0.15">
      <c r="A34" s="16"/>
      <c r="B34" s="16"/>
      <c r="C34" s="16"/>
      <c r="D34" s="16"/>
      <c r="E34" s="16"/>
      <c r="F34" s="16"/>
      <c r="G34" s="16"/>
      <c r="H34" s="16"/>
      <c r="I34" s="16"/>
      <c r="J34" s="16"/>
      <c r="K34" s="16"/>
      <c r="L34" s="16"/>
      <c r="M34" s="16"/>
      <c r="N34" s="16"/>
    </row>
    <row r="35" spans="1:14" x14ac:dyDescent="0.15">
      <c r="A35" s="16"/>
      <c r="B35" s="16"/>
      <c r="C35" s="16"/>
      <c r="D35" s="16"/>
      <c r="E35" s="16"/>
      <c r="F35" s="16"/>
      <c r="G35" s="16"/>
      <c r="H35" s="16"/>
      <c r="I35" s="16"/>
      <c r="J35" s="16"/>
      <c r="K35" s="16"/>
      <c r="L35" s="16"/>
      <c r="M35" s="16"/>
      <c r="N35" s="16"/>
    </row>
    <row r="36" spans="1:14" x14ac:dyDescent="0.15">
      <c r="A36" s="16"/>
      <c r="B36" s="16"/>
      <c r="C36" s="16"/>
      <c r="D36" s="16"/>
      <c r="E36" s="16"/>
      <c r="F36" s="16"/>
      <c r="G36" s="16"/>
      <c r="H36" s="16"/>
      <c r="I36" s="16"/>
      <c r="J36" s="16"/>
      <c r="K36" s="16"/>
      <c r="L36" s="16"/>
      <c r="M36" s="16"/>
      <c r="N36" s="16"/>
    </row>
    <row r="37" spans="1:14" x14ac:dyDescent="0.15">
      <c r="A37" s="16"/>
      <c r="B37" s="16"/>
      <c r="C37" s="16"/>
      <c r="D37" s="16"/>
      <c r="E37" s="16"/>
      <c r="F37" s="16"/>
      <c r="G37" s="16"/>
      <c r="H37" s="16"/>
      <c r="I37" s="16"/>
      <c r="J37" s="16"/>
      <c r="K37" s="16"/>
      <c r="L37" s="16"/>
      <c r="M37" s="16"/>
      <c r="N37" s="16"/>
    </row>
    <row r="38" spans="1:14" x14ac:dyDescent="0.15">
      <c r="A38" s="16"/>
      <c r="B38" s="16"/>
      <c r="C38" s="16"/>
      <c r="D38" s="16"/>
      <c r="E38" s="16"/>
      <c r="F38" s="16"/>
      <c r="G38" s="16"/>
      <c r="H38" s="16"/>
      <c r="I38" s="16"/>
      <c r="J38" s="16"/>
      <c r="K38" s="16"/>
      <c r="L38" s="16"/>
      <c r="M38" s="16"/>
      <c r="N38" s="16"/>
    </row>
    <row r="39" spans="1:14" x14ac:dyDescent="0.15">
      <c r="A39" s="16"/>
      <c r="B39" s="16"/>
      <c r="C39" s="16"/>
      <c r="D39" s="16"/>
      <c r="E39" s="16"/>
      <c r="F39" s="16"/>
      <c r="G39" s="16"/>
      <c r="H39" s="16"/>
      <c r="I39" s="16"/>
      <c r="J39" s="16"/>
      <c r="K39" s="16"/>
      <c r="L39" s="16"/>
      <c r="M39" s="16"/>
      <c r="N39" s="16"/>
    </row>
    <row r="40" spans="1:14" x14ac:dyDescent="0.15">
      <c r="A40" s="20"/>
      <c r="B40" s="20"/>
      <c r="C40" s="20"/>
      <c r="D40" s="20"/>
      <c r="E40" s="20"/>
      <c r="F40" s="20"/>
      <c r="G40" s="20"/>
      <c r="H40" s="20"/>
      <c r="I40" s="20"/>
      <c r="J40" s="20"/>
      <c r="K40" s="20"/>
      <c r="L40" s="20"/>
      <c r="M40" s="21" t="s">
        <v>4</v>
      </c>
      <c r="N40" s="20">
        <v>1</v>
      </c>
    </row>
  </sheetData>
  <mergeCells count="22">
    <mergeCell ref="J1:N2"/>
    <mergeCell ref="A9:C9"/>
    <mergeCell ref="D4:H4"/>
    <mergeCell ref="A15:C15"/>
    <mergeCell ref="I4:M4"/>
    <mergeCell ref="G2:I2"/>
    <mergeCell ref="A11:C11"/>
    <mergeCell ref="A22:C22"/>
    <mergeCell ref="A17:C17"/>
    <mergeCell ref="A20:C20"/>
    <mergeCell ref="G1:I1"/>
    <mergeCell ref="A10:C10"/>
    <mergeCell ref="A19:C19"/>
    <mergeCell ref="A13:C13"/>
    <mergeCell ref="E2:F2"/>
    <mergeCell ref="A16:C16"/>
    <mergeCell ref="A1:D2"/>
    <mergeCell ref="A18:C18"/>
    <mergeCell ref="A21:C21"/>
    <mergeCell ref="A12:C12"/>
    <mergeCell ref="E1:F1"/>
    <mergeCell ref="A8:C8"/>
  </mergeCells>
  <pageMargins left="0.7" right="0.7" top="0.75" bottom="0.75" header="0.3" footer="0.3"/>
  <ignoredErrors>
    <ignoredError sqref="I11:M11"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0"/>
  <sheetViews>
    <sheetView topLeftCell="A8" zoomScale="137" workbookViewId="0">
      <selection activeCell="C30" sqref="C30"/>
    </sheetView>
  </sheetViews>
  <sheetFormatPr baseColWidth="10" defaultRowHeight="14" x14ac:dyDescent="0.15"/>
  <cols>
    <col min="1" max="31" width="10.83203125" style="15" customWidth="1"/>
    <col min="32" max="16384" width="10.83203125" style="15"/>
  </cols>
  <sheetData>
    <row r="1" spans="1:14" ht="16" customHeight="1" thickBot="1" x14ac:dyDescent="0.25">
      <c r="A1" s="45" t="s">
        <v>43</v>
      </c>
      <c r="B1" s="30"/>
      <c r="C1" s="30"/>
      <c r="D1" s="31"/>
      <c r="E1" s="48" t="s">
        <v>0</v>
      </c>
      <c r="F1" s="30"/>
      <c r="G1" s="50">
        <v>46157</v>
      </c>
      <c r="H1" s="30"/>
      <c r="I1" s="30"/>
      <c r="J1" s="52" t="s">
        <v>1</v>
      </c>
      <c r="K1" s="30"/>
      <c r="L1" s="30"/>
      <c r="M1" s="30"/>
      <c r="N1" s="37"/>
    </row>
    <row r="2" spans="1:14" ht="16" customHeight="1" thickBot="1" x14ac:dyDescent="0.25">
      <c r="A2" s="32"/>
      <c r="B2" s="28"/>
      <c r="C2" s="28"/>
      <c r="D2" s="33"/>
      <c r="E2" s="51" t="s">
        <v>2</v>
      </c>
      <c r="F2" s="28"/>
      <c r="G2" s="53" t="s">
        <v>3</v>
      </c>
      <c r="H2" s="28"/>
      <c r="I2" s="28"/>
      <c r="J2" s="38"/>
      <c r="K2" s="28"/>
      <c r="L2" s="28"/>
      <c r="M2" s="28"/>
      <c r="N2" s="39"/>
    </row>
    <row r="3" spans="1:14" x14ac:dyDescent="0.15">
      <c r="A3" s="16"/>
      <c r="B3" s="16"/>
      <c r="C3" s="16"/>
      <c r="D3" s="16"/>
      <c r="E3" s="16"/>
      <c r="F3" s="16"/>
      <c r="G3" s="16"/>
      <c r="H3" s="16"/>
      <c r="I3" s="16"/>
      <c r="J3" s="16"/>
      <c r="K3" s="16"/>
      <c r="L3" s="16"/>
      <c r="M3" s="16"/>
      <c r="N3" s="16"/>
    </row>
    <row r="4" spans="1:14" ht="16" customHeight="1" x14ac:dyDescent="0.2">
      <c r="A4" s="5"/>
      <c r="B4" s="5"/>
      <c r="C4" s="5"/>
      <c r="D4" s="43" t="s">
        <v>7</v>
      </c>
      <c r="E4" s="47"/>
      <c r="F4" s="47"/>
      <c r="G4" s="47"/>
      <c r="H4" s="44"/>
      <c r="I4" s="41" t="s">
        <v>8</v>
      </c>
      <c r="J4" s="47"/>
      <c r="K4" s="47"/>
      <c r="L4" s="47"/>
      <c r="M4" s="47"/>
      <c r="N4" s="16"/>
    </row>
    <row r="5" spans="1:14" ht="16" customHeight="1" x14ac:dyDescent="0.2">
      <c r="A5" s="5" t="s">
        <v>43</v>
      </c>
      <c r="B5" s="5"/>
      <c r="C5" s="5"/>
      <c r="D5" s="5"/>
      <c r="E5" s="5"/>
      <c r="F5" s="5"/>
      <c r="G5" s="5"/>
      <c r="H5" s="5"/>
      <c r="I5" s="5"/>
      <c r="J5" s="5"/>
      <c r="K5" s="5"/>
      <c r="L5" s="5"/>
      <c r="M5" s="5"/>
      <c r="N5" s="16"/>
    </row>
    <row r="6" spans="1:14" ht="17" customHeight="1" thickBot="1" x14ac:dyDescent="0.25">
      <c r="A6" s="6" t="s">
        <v>10</v>
      </c>
      <c r="B6" s="6"/>
      <c r="C6" s="6"/>
      <c r="D6" s="6">
        <v>2021</v>
      </c>
      <c r="E6" s="6">
        <v>2022</v>
      </c>
      <c r="F6" s="6">
        <v>2023</v>
      </c>
      <c r="G6" s="6">
        <v>2024</v>
      </c>
      <c r="H6" s="6">
        <v>2025</v>
      </c>
      <c r="I6" s="6">
        <v>2026</v>
      </c>
      <c r="J6" s="6">
        <v>2027</v>
      </c>
      <c r="K6" s="6">
        <v>2028</v>
      </c>
      <c r="L6" s="6">
        <v>2029</v>
      </c>
      <c r="M6" s="6">
        <v>2030</v>
      </c>
      <c r="N6" s="16"/>
    </row>
    <row r="7" spans="1:14" x14ac:dyDescent="0.15">
      <c r="A7" s="16"/>
      <c r="B7" s="16"/>
      <c r="C7" s="16"/>
      <c r="D7" s="16"/>
      <c r="E7" s="16"/>
      <c r="F7" s="16"/>
      <c r="G7" s="16"/>
      <c r="H7" s="16"/>
      <c r="I7" s="16"/>
      <c r="J7" s="16"/>
      <c r="K7" s="16"/>
      <c r="L7" s="16"/>
      <c r="M7" s="16"/>
      <c r="N7" s="16"/>
    </row>
    <row r="8" spans="1:14" x14ac:dyDescent="0.15">
      <c r="A8" s="49" t="s">
        <v>44</v>
      </c>
      <c r="B8" s="47"/>
      <c r="C8" s="47"/>
      <c r="D8" s="16"/>
      <c r="E8" s="16"/>
      <c r="F8" s="16"/>
      <c r="G8" s="16"/>
      <c r="H8" s="16"/>
      <c r="I8" s="16"/>
      <c r="J8" s="16"/>
      <c r="K8" s="16"/>
      <c r="L8" s="16"/>
      <c r="M8" s="16"/>
      <c r="N8" s="16"/>
    </row>
    <row r="9" spans="1:14" ht="16" customHeight="1" x14ac:dyDescent="0.2">
      <c r="A9" s="54" t="s">
        <v>45</v>
      </c>
      <c r="B9" s="47"/>
      <c r="C9" s="47"/>
      <c r="D9" s="22">
        <v>5128.6000000000004</v>
      </c>
      <c r="E9" s="22">
        <v>5994.2</v>
      </c>
      <c r="F9" s="22">
        <v>6744.3</v>
      </c>
      <c r="G9" s="22">
        <v>7581.1</v>
      </c>
      <c r="H9" s="22">
        <v>5888.2</v>
      </c>
      <c r="I9" s="16">
        <f>(I21+I27)-I10-I11-I12-I15</f>
        <v>6123.192237189367</v>
      </c>
      <c r="J9" s="16">
        <f>(J21+J27)-J10-J11-J12-J15</f>
        <v>5911.301511488462</v>
      </c>
      <c r="K9" s="16">
        <f>(K21+K27)-K10-K11-K12-K15</f>
        <v>5917.9088173327909</v>
      </c>
      <c r="L9" s="16">
        <f>(L21+L27)-L10-L11-L12-L15</f>
        <v>6156.8234450749369</v>
      </c>
      <c r="M9" s="16">
        <f>(M21+M27)-M10-M11-M12-M15</f>
        <v>6641.7052713002922</v>
      </c>
      <c r="N9" s="16"/>
    </row>
    <row r="10" spans="1:14" ht="16" customHeight="1" x14ac:dyDescent="0.2">
      <c r="A10" s="54" t="s">
        <v>46</v>
      </c>
      <c r="B10" s="47"/>
      <c r="C10" s="47"/>
      <c r="D10" s="22">
        <v>5126.3</v>
      </c>
      <c r="E10" s="22">
        <v>6079.9</v>
      </c>
      <c r="F10" s="22">
        <v>5994.7</v>
      </c>
      <c r="G10" s="22">
        <v>5368.3</v>
      </c>
      <c r="H10" s="22">
        <v>6748.1</v>
      </c>
      <c r="I10" s="16">
        <f>'3 - Income Statement'!I8*'2 - Assumptions and Notes'!I14/'2 - Assumptions and Notes'!I21</f>
        <v>6125.6957654794523</v>
      </c>
      <c r="J10" s="16">
        <f>'3 - Income Statement'!J8*'2 - Assumptions and Notes'!J14/'2 - Assumptions and Notes'!J21</f>
        <v>6376.8492918641105</v>
      </c>
      <c r="K10" s="16">
        <f>'3 - Income Statement'!K8*'2 - Assumptions and Notes'!K14/'2 - Assumptions and Notes'!K21</f>
        <v>6638.3001128305386</v>
      </c>
      <c r="L10" s="16">
        <f>'3 - Income Statement'!L8*'2 - Assumptions and Notes'!L14/'2 - Assumptions and Notes'!L21</f>
        <v>6910.4704174565904</v>
      </c>
      <c r="M10" s="16">
        <f>'3 - Income Statement'!M8*'2 - Assumptions and Notes'!M14/'2 - Assumptions and Notes'!M21</f>
        <v>7193.7997045723105</v>
      </c>
      <c r="N10" s="16">
        <v>1</v>
      </c>
    </row>
    <row r="11" spans="1:14" ht="16" customHeight="1" x14ac:dyDescent="0.2">
      <c r="A11" s="54" t="s">
        <v>47</v>
      </c>
      <c r="B11" s="47"/>
      <c r="C11" s="47"/>
      <c r="D11" s="22">
        <v>5330.1</v>
      </c>
      <c r="E11" s="22">
        <v>6350.8</v>
      </c>
      <c r="F11" s="22">
        <v>5651.4</v>
      </c>
      <c r="G11" s="22">
        <v>5363.1</v>
      </c>
      <c r="H11" s="22">
        <v>4749.8</v>
      </c>
      <c r="I11" s="16">
        <f>'3 - Income Statement'!I9* -1 * '2 - Assumptions and Notes'!I15/'2 - Assumptions and Notes'!I21</f>
        <v>5780.4908107397259</v>
      </c>
      <c r="J11" s="16">
        <f>'3 - Income Statement'!J9*-1*'2 - Assumptions and Notes'!J15/'2 - Assumptions and Notes'!J21</f>
        <v>6017.4909339800543</v>
      </c>
      <c r="K11" s="16">
        <f>'3 - Income Statement'!K9*-1*'2 - Assumptions and Notes'!K15/'2 - Assumptions and Notes'!K21</f>
        <v>6264.2080622732383</v>
      </c>
      <c r="L11" s="16">
        <f>'3 - Income Statement'!L9*-1*'2 - Assumptions and Notes'!L15/'2 - Assumptions and Notes'!L21</f>
        <v>6521.0405928264399</v>
      </c>
      <c r="M11" s="16">
        <f>'3 - Income Statement'!M9*-1*'2 - Assumptions and Notes'!M15/'2 - Assumptions and Notes'!M21</f>
        <v>6788.4032571323251</v>
      </c>
      <c r="N11" s="16">
        <v>2</v>
      </c>
    </row>
    <row r="12" spans="1:14" ht="16" customHeight="1" x14ac:dyDescent="0.2">
      <c r="A12" s="54" t="s">
        <v>48</v>
      </c>
      <c r="B12" s="47"/>
      <c r="C12" s="47"/>
      <c r="D12" s="22">
        <v>4220.3999999999996</v>
      </c>
      <c r="E12" s="22">
        <v>2088</v>
      </c>
      <c r="F12" s="22">
        <v>1373.4</v>
      </c>
      <c r="G12" s="22">
        <v>1571.5</v>
      </c>
      <c r="H12" s="22">
        <v>2663.3</v>
      </c>
      <c r="I12" s="16">
        <f>H12*('3 - Income Statement'!I9/'3 - Income Statement'!H9)</f>
        <v>2926.4472659691219</v>
      </c>
      <c r="J12" s="16">
        <f>I12*('3 - Income Statement'!J9/'3 - Income Statement'!I9)</f>
        <v>3046.4316038738557</v>
      </c>
      <c r="K12" s="16">
        <f>J12*('3 - Income Statement'!K9/'3 - Income Statement'!J9)</f>
        <v>3171.3352996326844</v>
      </c>
      <c r="L12" s="16">
        <f>K12*('3 - Income Statement'!L9/'3 - Income Statement'!K9)</f>
        <v>3301.360046917624</v>
      </c>
      <c r="M12" s="16">
        <f>L12*('3 - Income Statement'!M9/'3 - Income Statement'!L9)</f>
        <v>3436.7158088412471</v>
      </c>
      <c r="N12" s="16"/>
    </row>
    <row r="13" spans="1:14" ht="16" customHeight="1" x14ac:dyDescent="0.2">
      <c r="A13" s="54" t="s">
        <v>49</v>
      </c>
      <c r="B13" s="47"/>
      <c r="C13" s="47"/>
      <c r="D13" s="22">
        <f t="shared" ref="D13:M13" si="0">SUM(D9:D12)</f>
        <v>19805.400000000001</v>
      </c>
      <c r="E13" s="22">
        <f t="shared" si="0"/>
        <v>20512.899999999998</v>
      </c>
      <c r="F13" s="22">
        <f t="shared" si="0"/>
        <v>19763.800000000003</v>
      </c>
      <c r="G13" s="22">
        <f t="shared" si="0"/>
        <v>19884</v>
      </c>
      <c r="H13" s="22">
        <f t="shared" si="0"/>
        <v>20049.399999999998</v>
      </c>
      <c r="I13" s="16">
        <f t="shared" si="0"/>
        <v>20955.826079377672</v>
      </c>
      <c r="J13" s="16">
        <f t="shared" si="0"/>
        <v>21352.07334120648</v>
      </c>
      <c r="K13" s="16">
        <f t="shared" si="0"/>
        <v>21991.75229206925</v>
      </c>
      <c r="L13" s="16">
        <f t="shared" si="0"/>
        <v>22889.69450227559</v>
      </c>
      <c r="M13" s="16">
        <f t="shared" si="0"/>
        <v>24060.624041846175</v>
      </c>
      <c r="N13" s="16"/>
    </row>
    <row r="14" spans="1:14" ht="16" customHeight="1" x14ac:dyDescent="0.2">
      <c r="A14" s="54"/>
      <c r="B14" s="47"/>
      <c r="C14" s="47"/>
      <c r="D14" s="16"/>
      <c r="E14" s="16"/>
      <c r="F14" s="16"/>
      <c r="G14" s="16"/>
      <c r="H14" s="16"/>
      <c r="I14" s="16"/>
      <c r="J14" s="16"/>
      <c r="K14" s="16"/>
      <c r="L14" s="16"/>
      <c r="M14" s="16"/>
      <c r="N14" s="16"/>
    </row>
    <row r="15" spans="1:14" ht="16" customHeight="1" x14ac:dyDescent="0.2">
      <c r="A15" s="54" t="s">
        <v>50</v>
      </c>
      <c r="B15" s="47"/>
      <c r="C15" s="47"/>
      <c r="D15" s="22">
        <v>65665.799999999988</v>
      </c>
      <c r="E15" s="22">
        <v>62816.200000000012</v>
      </c>
      <c r="F15" s="22">
        <v>63329.599999999991</v>
      </c>
      <c r="G15" s="22">
        <v>62732.800000000003</v>
      </c>
      <c r="H15" s="22">
        <v>62740.800000000003</v>
      </c>
      <c r="I15" s="16">
        <f>'6 - Supporting Schedules'!I19+50749.6</f>
        <v>62784.206687999998</v>
      </c>
      <c r="J15" s="16">
        <f>'6 - Supporting Schedules'!J19+50749.6</f>
        <v>62883.180951647999</v>
      </c>
      <c r="K15" s="16">
        <f>'6 - Supporting Schedules'!K19+50749.6</f>
        <v>63033.54651337277</v>
      </c>
      <c r="L15" s="16">
        <f>'6 - Supporting Schedules'!L19+50749.6</f>
        <v>63231.730414003388</v>
      </c>
      <c r="M15" s="16">
        <f>'6 - Supporting Schedules'!M19+50749.6</f>
        <v>63474.694803329985</v>
      </c>
      <c r="N15" s="16"/>
    </row>
    <row r="16" spans="1:14" ht="17" customHeight="1" x14ac:dyDescent="0.2">
      <c r="A16" s="54" t="s">
        <v>51</v>
      </c>
      <c r="B16" s="47"/>
      <c r="C16" s="47"/>
      <c r="D16" s="16">
        <f t="shared" ref="D16:M16" si="1">D13+D15</f>
        <v>85471.199999999983</v>
      </c>
      <c r="E16" s="16">
        <f t="shared" si="1"/>
        <v>83329.100000000006</v>
      </c>
      <c r="F16" s="16">
        <f t="shared" si="1"/>
        <v>83093.399999999994</v>
      </c>
      <c r="G16" s="16">
        <f t="shared" si="1"/>
        <v>82616.800000000003</v>
      </c>
      <c r="H16" s="16">
        <f t="shared" si="1"/>
        <v>82790.2</v>
      </c>
      <c r="I16" s="16">
        <f t="shared" si="1"/>
        <v>83740.032767377677</v>
      </c>
      <c r="J16" s="16">
        <f t="shared" si="1"/>
        <v>84235.254292854486</v>
      </c>
      <c r="K16" s="16">
        <f t="shared" si="1"/>
        <v>85025.298805442028</v>
      </c>
      <c r="L16" s="16">
        <f t="shared" si="1"/>
        <v>86121.424916278978</v>
      </c>
      <c r="M16" s="16">
        <f t="shared" si="1"/>
        <v>87535.318845176167</v>
      </c>
      <c r="N16" s="16"/>
    </row>
    <row r="17" spans="1:14" ht="16" customHeight="1" x14ac:dyDescent="0.2">
      <c r="A17" s="54"/>
      <c r="B17" s="47"/>
      <c r="C17" s="47"/>
      <c r="D17" s="16"/>
      <c r="E17" s="16"/>
      <c r="F17" s="16"/>
      <c r="G17" s="16"/>
      <c r="H17" s="16"/>
      <c r="I17" s="16"/>
      <c r="J17" s="16"/>
      <c r="K17" s="16"/>
      <c r="L17" s="16"/>
      <c r="M17" s="16"/>
      <c r="N17" s="16"/>
    </row>
    <row r="18" spans="1:14" ht="16" customHeight="1" x14ac:dyDescent="0.2">
      <c r="A18" s="54" t="s">
        <v>52</v>
      </c>
      <c r="B18" s="47"/>
      <c r="C18" s="47"/>
      <c r="D18" s="16"/>
      <c r="E18" s="16"/>
      <c r="F18" s="16"/>
      <c r="G18" s="16"/>
      <c r="H18" s="16"/>
      <c r="I18" s="16"/>
      <c r="J18" s="16"/>
      <c r="K18" s="16"/>
      <c r="L18" s="16"/>
      <c r="M18" s="16"/>
      <c r="N18" s="16"/>
    </row>
    <row r="19" spans="1:14" ht="16" customHeight="1" x14ac:dyDescent="0.2">
      <c r="A19" s="54" t="s">
        <v>53</v>
      </c>
      <c r="B19" s="47"/>
      <c r="C19" s="47"/>
      <c r="D19" s="16">
        <v>10125.200000000001</v>
      </c>
      <c r="E19" s="16">
        <v>11885.6</v>
      </c>
      <c r="F19" s="16">
        <v>11431.9</v>
      </c>
      <c r="G19" s="16">
        <v>10626.7</v>
      </c>
      <c r="H19" s="16">
        <v>12915.9</v>
      </c>
      <c r="I19" s="16">
        <f>'3 - Income Statement'!I9*-1*'2 - Assumptions and Notes'!I16/'2 - Assumptions and Notes'!I21</f>
        <v>13740.510943561645</v>
      </c>
      <c r="J19" s="16">
        <f>'3 - Income Statement'!J9*-1*'2 - Assumptions and Notes'!J16/'2 - Assumptions and Notes'!J21</f>
        <v>13810.634930446027</v>
      </c>
      <c r="K19" s="16">
        <f>'3 - Income Statement'!K9*-1*'2 - Assumptions and Notes'!K16/'2 - Assumptions and Notes'!K21</f>
        <v>13863.411285358805</v>
      </c>
      <c r="L19" s="16">
        <f>'3 - Income Statement'!L9*-1*'2 - Assumptions and Notes'!L16/'2 - Assumptions and Notes'!L21</f>
        <v>13897.299624056348</v>
      </c>
      <c r="M19" s="16">
        <f>'3 - Income Statement'!M9*-1*'2 - Assumptions and Notes'!M16/'2 - Assumptions and Notes'!M21</f>
        <v>13910.662412156404</v>
      </c>
      <c r="N19" s="16">
        <v>3</v>
      </c>
    </row>
    <row r="20" spans="1:14" ht="16" customHeight="1" x14ac:dyDescent="0.2">
      <c r="A20" s="54" t="s">
        <v>54</v>
      </c>
      <c r="B20" s="47"/>
      <c r="C20" s="47"/>
      <c r="D20" s="16">
        <v>42746.400000000009</v>
      </c>
      <c r="E20" s="16">
        <v>36320.9</v>
      </c>
      <c r="F20" s="16">
        <v>37306.199999999997</v>
      </c>
      <c r="G20" s="16">
        <v>37997.600000000013</v>
      </c>
      <c r="H20" s="16">
        <v>36297</v>
      </c>
      <c r="I20" s="16">
        <f>'6 - Supporting Schedules'!I25+15991.5</f>
        <v>48886.22</v>
      </c>
      <c r="J20" s="16">
        <f>'6 - Supporting Schedules'!J25+15991.5</f>
        <v>48559.54</v>
      </c>
      <c r="K20" s="16">
        <f>'6 - Supporting Schedules'!K25+15991.5</f>
        <v>48232.86</v>
      </c>
      <c r="L20" s="16">
        <f>'6 - Supporting Schedules'!L25+15991.5</f>
        <v>47906.18</v>
      </c>
      <c r="M20" s="16">
        <f>'6 - Supporting Schedules'!M25+15991.5</f>
        <v>47579.5</v>
      </c>
      <c r="N20" s="16"/>
    </row>
    <row r="21" spans="1:14" ht="16" customHeight="1" x14ac:dyDescent="0.2">
      <c r="A21" s="54" t="s">
        <v>55</v>
      </c>
      <c r="B21" s="47"/>
      <c r="C21" s="47"/>
      <c r="D21" s="16">
        <v>62996.800000000003</v>
      </c>
      <c r="E21" s="16">
        <v>60092.1</v>
      </c>
      <c r="F21" s="16">
        <v>60170</v>
      </c>
      <c r="G21" s="16">
        <v>59251</v>
      </c>
      <c r="H21" s="16">
        <v>62128.800000000003</v>
      </c>
      <c r="I21" s="16">
        <f>I19+I20</f>
        <v>62626.730943561648</v>
      </c>
      <c r="J21" s="16">
        <f>J19+J20</f>
        <v>62370.174930446025</v>
      </c>
      <c r="K21" s="16">
        <f>K19+K20</f>
        <v>62096.271285358802</v>
      </c>
      <c r="L21" s="16">
        <f>L19+L20</f>
        <v>61803.479624056345</v>
      </c>
      <c r="M21" s="16">
        <f>M19+M20</f>
        <v>61490.162412156402</v>
      </c>
      <c r="N21" s="16"/>
    </row>
    <row r="22" spans="1:14" ht="16" customHeight="1" x14ac:dyDescent="0.2">
      <c r="A22" s="54"/>
      <c r="B22" s="47"/>
      <c r="C22" s="47"/>
      <c r="D22" s="22"/>
      <c r="E22" s="22"/>
      <c r="F22" s="22"/>
      <c r="G22" s="22"/>
      <c r="H22" s="22"/>
      <c r="I22" s="16"/>
      <c r="J22" s="16"/>
      <c r="K22" s="16"/>
      <c r="L22" s="16"/>
      <c r="M22" s="16"/>
      <c r="N22" s="16"/>
    </row>
    <row r="23" spans="1:14" x14ac:dyDescent="0.15">
      <c r="A23" s="46" t="s">
        <v>56</v>
      </c>
      <c r="B23" s="47"/>
      <c r="C23" s="47"/>
      <c r="D23" s="16"/>
      <c r="E23" s="16"/>
      <c r="F23" s="16"/>
      <c r="G23" s="16"/>
      <c r="H23" s="16"/>
      <c r="I23" s="16"/>
      <c r="J23" s="16"/>
      <c r="K23" s="16"/>
      <c r="L23" s="16"/>
      <c r="M23" s="16"/>
      <c r="N23" s="16"/>
    </row>
    <row r="24" spans="1:14" ht="16" customHeight="1" x14ac:dyDescent="0.2">
      <c r="A24" s="46" t="s">
        <v>57</v>
      </c>
      <c r="B24" s="47"/>
      <c r="C24" s="47"/>
      <c r="D24" s="22">
        <v>-33733.199999999997</v>
      </c>
      <c r="E24" s="22">
        <v>-33442.6</v>
      </c>
      <c r="F24" s="22">
        <v>-31960.6</v>
      </c>
      <c r="G24" s="22">
        <v>-30799.7</v>
      </c>
      <c r="H24" s="22">
        <v>-33715.899999999987</v>
      </c>
      <c r="I24" s="16">
        <f>H27+'3 - Income Statement'!I21+(-4852)+(-2010.14)</f>
        <v>21113.301823816015</v>
      </c>
      <c r="J24" s="16">
        <f>I24+'3 - Income Statement'!J21+(-4852)+(-2010.14)</f>
        <v>21865.079362408469</v>
      </c>
      <c r="K24" s="16">
        <f>J24+'3 - Income Statement'!K21+(-4852)+(-2010.14)</f>
        <v>22929.027520083211</v>
      </c>
      <c r="L24" s="16">
        <f>K24+'3 - Income Statement'!L21+(-4852)+(-2010.14)</f>
        <v>24317.945292222626</v>
      </c>
      <c r="M24" s="16">
        <f>L24+'3 - Income Statement'!M21+(-4852)+(-2010.14)</f>
        <v>26045.156433019751</v>
      </c>
      <c r="N24" s="16"/>
    </row>
    <row r="25" spans="1:14" ht="16" customHeight="1" x14ac:dyDescent="0.2">
      <c r="A25" s="46" t="s">
        <v>58</v>
      </c>
      <c r="B25" s="47"/>
      <c r="C25" s="47"/>
      <c r="D25" s="23">
        <v>53204</v>
      </c>
      <c r="E25" s="23">
        <v>53809.8</v>
      </c>
      <c r="F25" s="23">
        <v>51945.2</v>
      </c>
      <c r="G25" s="23">
        <v>51508.3</v>
      </c>
      <c r="H25" s="23">
        <v>51960.800000000003</v>
      </c>
      <c r="I25" s="16"/>
      <c r="J25" s="16"/>
      <c r="K25" s="16"/>
      <c r="L25" s="16"/>
      <c r="M25" s="16"/>
      <c r="N25" s="16"/>
    </row>
    <row r="26" spans="1:14" ht="16" customHeight="1" x14ac:dyDescent="0.2">
      <c r="A26" s="46" t="s">
        <v>59</v>
      </c>
      <c r="B26" s="47"/>
      <c r="C26" s="47"/>
      <c r="D26" s="23">
        <v>3004</v>
      </c>
      <c r="E26" s="23">
        <v>2870</v>
      </c>
      <c r="F26" s="23">
        <v>2939</v>
      </c>
      <c r="G26" s="23">
        <v>2657</v>
      </c>
      <c r="H26" s="23">
        <v>2416.5</v>
      </c>
      <c r="I26" s="16"/>
      <c r="J26" s="16"/>
      <c r="K26" s="16"/>
      <c r="L26" s="16"/>
      <c r="M26" s="16"/>
      <c r="N26" s="16"/>
    </row>
    <row r="27" spans="1:14" x14ac:dyDescent="0.15">
      <c r="A27" s="46" t="s">
        <v>60</v>
      </c>
      <c r="B27" s="47"/>
      <c r="C27" s="47"/>
      <c r="D27" s="16">
        <f>SUM(D24:D26)</f>
        <v>22474.800000000003</v>
      </c>
      <c r="E27" s="16">
        <f>SUM(E24:E26)</f>
        <v>23237.200000000004</v>
      </c>
      <c r="F27" s="16">
        <f>SUM(F24:F26)</f>
        <v>22923.599999999999</v>
      </c>
      <c r="G27" s="16">
        <f>SUM(G24:G26)</f>
        <v>23365.600000000002</v>
      </c>
      <c r="H27" s="16">
        <f>SUM(H24:H26)</f>
        <v>20661.400000000016</v>
      </c>
      <c r="I27" s="16">
        <f>I24</f>
        <v>21113.301823816015</v>
      </c>
      <c r="J27" s="16">
        <f>J24</f>
        <v>21865.079362408469</v>
      </c>
      <c r="K27" s="16">
        <f>K24</f>
        <v>22929.027520083211</v>
      </c>
      <c r="L27" s="16">
        <f>L24</f>
        <v>24317.945292222626</v>
      </c>
      <c r="M27" s="16">
        <f>M24</f>
        <v>26045.156433019751</v>
      </c>
      <c r="N27" s="16"/>
    </row>
    <row r="28" spans="1:14" x14ac:dyDescent="0.15">
      <c r="A28" s="46"/>
      <c r="B28" s="47"/>
      <c r="C28" s="47"/>
      <c r="D28" s="16"/>
      <c r="E28" s="16"/>
      <c r="F28" s="16"/>
      <c r="G28" s="16"/>
      <c r="H28" s="16"/>
      <c r="I28" s="16"/>
      <c r="J28" s="16"/>
      <c r="K28" s="16"/>
      <c r="L28" s="16"/>
      <c r="M28" s="16"/>
      <c r="N28" s="16"/>
    </row>
    <row r="29" spans="1:14" x14ac:dyDescent="0.15">
      <c r="A29" s="46" t="s">
        <v>61</v>
      </c>
      <c r="B29" s="47"/>
      <c r="C29" s="47"/>
      <c r="D29" s="16">
        <f t="shared" ref="D29:M29" si="2">D16-D21-D27</f>
        <v>-0.40000000002328306</v>
      </c>
      <c r="E29" s="16">
        <f t="shared" si="2"/>
        <v>-0.19999999999708962</v>
      </c>
      <c r="F29" s="16">
        <f t="shared" si="2"/>
        <v>-0.20000000000436557</v>
      </c>
      <c r="G29" s="16">
        <f t="shared" si="2"/>
        <v>0.2000000000007276</v>
      </c>
      <c r="H29" s="16">
        <f t="shared" si="2"/>
        <v>0</v>
      </c>
      <c r="I29" s="16">
        <f t="shared" si="2"/>
        <v>0</v>
      </c>
      <c r="J29" s="16">
        <f t="shared" si="2"/>
        <v>0</v>
      </c>
      <c r="K29" s="16">
        <f t="shared" si="2"/>
        <v>0</v>
      </c>
      <c r="L29" s="16">
        <f t="shared" si="2"/>
        <v>0</v>
      </c>
      <c r="M29" s="16">
        <f t="shared" si="2"/>
        <v>0</v>
      </c>
      <c r="N29" s="16"/>
    </row>
    <row r="30" spans="1:14" x14ac:dyDescent="0.15">
      <c r="A30" s="16"/>
      <c r="B30" s="16"/>
      <c r="C30" s="16"/>
      <c r="D30" s="16"/>
      <c r="E30" s="16"/>
      <c r="F30" s="16"/>
      <c r="G30" s="16"/>
      <c r="H30" s="16"/>
      <c r="I30" s="16"/>
      <c r="J30" s="16"/>
      <c r="K30" s="16"/>
      <c r="L30" s="16"/>
      <c r="M30" s="16"/>
      <c r="N30" s="16"/>
    </row>
    <row r="31" spans="1:14" x14ac:dyDescent="0.15">
      <c r="A31" s="16"/>
      <c r="B31" s="16"/>
      <c r="C31" s="16"/>
      <c r="D31" s="16"/>
      <c r="E31" s="16"/>
      <c r="F31" s="16"/>
      <c r="G31" s="16"/>
      <c r="H31" s="16"/>
      <c r="I31" s="16"/>
      <c r="J31" s="16"/>
      <c r="K31" s="16"/>
      <c r="L31" s="16"/>
      <c r="M31" s="16"/>
      <c r="N31" s="16"/>
    </row>
    <row r="32" spans="1:14" x14ac:dyDescent="0.15">
      <c r="A32" s="16" t="s">
        <v>62</v>
      </c>
      <c r="B32" s="16"/>
      <c r="C32" s="16"/>
      <c r="D32" s="16"/>
      <c r="E32" s="16"/>
      <c r="F32" s="16"/>
      <c r="G32" s="16"/>
      <c r="H32" s="16"/>
      <c r="I32" s="16"/>
      <c r="J32" s="16"/>
      <c r="K32" s="16"/>
      <c r="L32" s="16"/>
      <c r="M32" s="16"/>
      <c r="N32" s="16"/>
    </row>
    <row r="33" spans="1:14" x14ac:dyDescent="0.15">
      <c r="A33" s="16">
        <v>1</v>
      </c>
      <c r="B33" s="16" t="s">
        <v>63</v>
      </c>
      <c r="C33" s="16"/>
      <c r="D33" s="16"/>
      <c r="E33" s="16"/>
      <c r="F33" s="16"/>
      <c r="G33" s="16"/>
      <c r="H33" s="16"/>
      <c r="I33" s="16"/>
      <c r="J33" s="16"/>
      <c r="K33" s="16"/>
      <c r="L33" s="16"/>
      <c r="M33" s="16"/>
      <c r="N33" s="16"/>
    </row>
    <row r="34" spans="1:14" x14ac:dyDescent="0.15">
      <c r="A34" s="16">
        <v>2</v>
      </c>
      <c r="B34" s="16" t="s">
        <v>64</v>
      </c>
      <c r="C34" s="16"/>
      <c r="D34" s="16"/>
      <c r="E34" s="16"/>
      <c r="F34" s="16"/>
      <c r="G34" s="16"/>
      <c r="H34" s="16"/>
      <c r="I34" s="16"/>
      <c r="J34" s="16"/>
      <c r="K34" s="16"/>
      <c r="L34" s="16"/>
      <c r="M34" s="16"/>
      <c r="N34" s="16"/>
    </row>
    <row r="35" spans="1:14" x14ac:dyDescent="0.15">
      <c r="A35" s="16">
        <v>3</v>
      </c>
      <c r="B35" s="16" t="s">
        <v>65</v>
      </c>
      <c r="C35" s="16"/>
      <c r="D35" s="16"/>
      <c r="E35" s="16"/>
      <c r="F35" s="16"/>
      <c r="G35" s="16"/>
      <c r="H35" s="16"/>
      <c r="I35" s="16"/>
      <c r="J35" s="16"/>
      <c r="K35" s="16"/>
      <c r="L35" s="16"/>
      <c r="M35" s="16"/>
      <c r="N35" s="16"/>
    </row>
    <row r="36" spans="1:14" x14ac:dyDescent="0.15">
      <c r="A36" s="16"/>
      <c r="B36" s="16"/>
      <c r="C36" s="16"/>
      <c r="D36" s="16"/>
      <c r="E36" s="16"/>
      <c r="F36" s="16"/>
      <c r="G36" s="16"/>
      <c r="H36" s="16"/>
      <c r="I36" s="16"/>
      <c r="J36" s="16"/>
      <c r="K36" s="16"/>
      <c r="L36" s="16"/>
      <c r="M36" s="16"/>
      <c r="N36" s="16"/>
    </row>
    <row r="37" spans="1:14" x14ac:dyDescent="0.15">
      <c r="A37" s="16"/>
      <c r="B37" s="16"/>
      <c r="C37" s="16"/>
      <c r="D37" s="16"/>
      <c r="E37" s="16"/>
      <c r="F37" s="16"/>
      <c r="G37" s="16"/>
      <c r="H37" s="16"/>
      <c r="I37" s="16"/>
      <c r="J37" s="16"/>
      <c r="K37" s="16"/>
      <c r="L37" s="16"/>
      <c r="M37" s="16"/>
      <c r="N37" s="16"/>
    </row>
    <row r="38" spans="1:14" x14ac:dyDescent="0.15">
      <c r="A38" s="16"/>
      <c r="B38" s="16"/>
      <c r="C38" s="16"/>
      <c r="D38" s="16"/>
      <c r="E38" s="16"/>
      <c r="F38" s="16"/>
      <c r="G38" s="16"/>
      <c r="H38" s="16"/>
      <c r="I38" s="16"/>
      <c r="J38" s="16"/>
      <c r="K38" s="16"/>
      <c r="L38" s="16"/>
      <c r="M38" s="16"/>
      <c r="N38" s="16"/>
    </row>
    <row r="39" spans="1:14" x14ac:dyDescent="0.15">
      <c r="A39" s="16"/>
      <c r="B39" s="16"/>
      <c r="C39" s="16"/>
      <c r="D39" s="16"/>
      <c r="E39" s="16"/>
      <c r="F39" s="16"/>
      <c r="G39" s="16"/>
      <c r="H39" s="16"/>
      <c r="I39" s="16"/>
      <c r="J39" s="16"/>
      <c r="K39" s="16"/>
      <c r="L39" s="16"/>
      <c r="M39" s="16"/>
      <c r="N39" s="16"/>
    </row>
    <row r="40" spans="1:14" x14ac:dyDescent="0.15">
      <c r="A40" s="20"/>
      <c r="B40" s="20"/>
      <c r="C40" s="20"/>
      <c r="D40" s="20"/>
      <c r="E40" s="20"/>
      <c r="F40" s="20"/>
      <c r="G40" s="20"/>
      <c r="H40" s="20"/>
      <c r="I40" s="20"/>
      <c r="J40" s="20"/>
      <c r="K40" s="20"/>
      <c r="L40" s="20"/>
      <c r="M40" s="21" t="s">
        <v>4</v>
      </c>
      <c r="N40" s="20">
        <v>1</v>
      </c>
    </row>
  </sheetData>
  <mergeCells count="30">
    <mergeCell ref="J1:N2"/>
    <mergeCell ref="A9:C9"/>
    <mergeCell ref="D4:H4"/>
    <mergeCell ref="A15:C15"/>
    <mergeCell ref="A24:C24"/>
    <mergeCell ref="I4:M4"/>
    <mergeCell ref="G2:I2"/>
    <mergeCell ref="A11:C11"/>
    <mergeCell ref="A16:C16"/>
    <mergeCell ref="A29:C29"/>
    <mergeCell ref="A20:C20"/>
    <mergeCell ref="G1:I1"/>
    <mergeCell ref="A10:C10"/>
    <mergeCell ref="A28:C28"/>
    <mergeCell ref="A13:C13"/>
    <mergeCell ref="A19:C19"/>
    <mergeCell ref="E2:F2"/>
    <mergeCell ref="E1:F1"/>
    <mergeCell ref="A8:C8"/>
    <mergeCell ref="A14:C14"/>
    <mergeCell ref="A22:C22"/>
    <mergeCell ref="A17:C17"/>
    <mergeCell ref="A25:C25"/>
    <mergeCell ref="A1:D2"/>
    <mergeCell ref="A18:C18"/>
    <mergeCell ref="A27:C27"/>
    <mergeCell ref="A21:C21"/>
    <mergeCell ref="A12:C12"/>
    <mergeCell ref="A26:C26"/>
    <mergeCell ref="A23:C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0"/>
  <sheetViews>
    <sheetView topLeftCell="A10" zoomScale="153" workbookViewId="0">
      <selection activeCell="B33" sqref="B33"/>
    </sheetView>
  </sheetViews>
  <sheetFormatPr baseColWidth="10" defaultRowHeight="14" x14ac:dyDescent="0.15"/>
  <cols>
    <col min="1" max="31" width="10.83203125" style="15" customWidth="1"/>
    <col min="32" max="16384" width="10.83203125" style="15"/>
  </cols>
  <sheetData>
    <row r="1" spans="1:14" ht="16" customHeight="1" thickBot="1" x14ac:dyDescent="0.25">
      <c r="A1" s="45" t="s">
        <v>66</v>
      </c>
      <c r="B1" s="30"/>
      <c r="C1" s="30"/>
      <c r="D1" s="31"/>
      <c r="E1" s="48" t="s">
        <v>0</v>
      </c>
      <c r="F1" s="30"/>
      <c r="G1" s="50">
        <v>46157</v>
      </c>
      <c r="H1" s="30"/>
      <c r="I1" s="30"/>
      <c r="J1" s="52" t="s">
        <v>1</v>
      </c>
      <c r="K1" s="30"/>
      <c r="L1" s="30"/>
      <c r="M1" s="30"/>
      <c r="N1" s="37"/>
    </row>
    <row r="2" spans="1:14" ht="16" customHeight="1" thickBot="1" x14ac:dyDescent="0.25">
      <c r="A2" s="32"/>
      <c r="B2" s="28"/>
      <c r="C2" s="28"/>
      <c r="D2" s="33"/>
      <c r="E2" s="51" t="s">
        <v>2</v>
      </c>
      <c r="F2" s="28"/>
      <c r="G2" s="53" t="s">
        <v>3</v>
      </c>
      <c r="H2" s="28"/>
      <c r="I2" s="28"/>
      <c r="J2" s="38"/>
      <c r="K2" s="28"/>
      <c r="L2" s="28"/>
      <c r="M2" s="28"/>
      <c r="N2" s="39"/>
    </row>
    <row r="3" spans="1:14" x14ac:dyDescent="0.15">
      <c r="A3" s="16"/>
      <c r="B3" s="16"/>
      <c r="C3" s="16"/>
      <c r="D3" s="16"/>
      <c r="E3" s="16"/>
      <c r="F3" s="16"/>
      <c r="G3" s="16"/>
      <c r="H3" s="16"/>
      <c r="I3" s="16"/>
      <c r="J3" s="16"/>
      <c r="K3" s="16"/>
      <c r="L3" s="16"/>
      <c r="M3" s="16"/>
      <c r="N3" s="16"/>
    </row>
    <row r="4" spans="1:14" ht="16" customHeight="1" x14ac:dyDescent="0.2">
      <c r="A4" s="5"/>
      <c r="B4" s="5"/>
      <c r="C4" s="5"/>
      <c r="D4" s="43" t="s">
        <v>7</v>
      </c>
      <c r="E4" s="47"/>
      <c r="F4" s="47"/>
      <c r="G4" s="47"/>
      <c r="H4" s="44"/>
      <c r="I4" s="41" t="s">
        <v>8</v>
      </c>
      <c r="J4" s="47"/>
      <c r="K4" s="47"/>
      <c r="L4" s="47"/>
      <c r="M4" s="47"/>
      <c r="N4" s="16"/>
    </row>
    <row r="5" spans="1:14" ht="16" customHeight="1" x14ac:dyDescent="0.2">
      <c r="A5" s="5" t="s">
        <v>66</v>
      </c>
      <c r="B5" s="5"/>
      <c r="C5" s="5"/>
      <c r="D5" s="5"/>
      <c r="E5" s="5"/>
      <c r="F5" s="5"/>
      <c r="G5" s="5"/>
      <c r="H5" s="5"/>
      <c r="I5" s="5"/>
      <c r="J5" s="5"/>
      <c r="K5" s="5"/>
      <c r="L5" s="5"/>
      <c r="M5" s="5"/>
      <c r="N5" s="16"/>
    </row>
    <row r="6" spans="1:14" ht="17" customHeight="1" thickBot="1" x14ac:dyDescent="0.25">
      <c r="A6" s="6" t="s">
        <v>10</v>
      </c>
      <c r="B6" s="6"/>
      <c r="C6" s="6"/>
      <c r="D6" s="6">
        <v>2021</v>
      </c>
      <c r="E6" s="6">
        <v>2022</v>
      </c>
      <c r="F6" s="6">
        <v>2023</v>
      </c>
      <c r="G6" s="6">
        <v>2024</v>
      </c>
      <c r="H6" s="6">
        <v>2025</v>
      </c>
      <c r="I6" s="6">
        <v>2026</v>
      </c>
      <c r="J6" s="6">
        <v>2027</v>
      </c>
      <c r="K6" s="6">
        <v>2028</v>
      </c>
      <c r="L6" s="6">
        <v>2029</v>
      </c>
      <c r="M6" s="6">
        <v>2030</v>
      </c>
      <c r="N6" s="16"/>
    </row>
    <row r="7" spans="1:14" x14ac:dyDescent="0.15">
      <c r="A7" s="16"/>
      <c r="B7" s="16"/>
      <c r="C7" s="16"/>
      <c r="D7" s="16"/>
      <c r="E7" s="16"/>
      <c r="F7" s="16"/>
      <c r="G7" s="16"/>
      <c r="H7" s="16"/>
      <c r="I7" s="16"/>
      <c r="J7" s="16"/>
      <c r="K7" s="16"/>
      <c r="L7" s="16"/>
      <c r="M7" s="16"/>
      <c r="N7" s="16"/>
    </row>
    <row r="8" spans="1:14" x14ac:dyDescent="0.15">
      <c r="A8" s="55" t="s">
        <v>41</v>
      </c>
      <c r="B8" s="47"/>
      <c r="C8" s="47"/>
      <c r="D8" s="16">
        <v>6884.8</v>
      </c>
      <c r="E8" s="16">
        <v>8182.9</v>
      </c>
      <c r="F8" s="16">
        <v>7161.6</v>
      </c>
      <c r="G8" s="16">
        <v>5950.5</v>
      </c>
      <c r="H8" s="16">
        <v>11124.3</v>
      </c>
      <c r="I8" s="16">
        <f>'3 - Income Statement'!I21</f>
        <v>7314.0418238159982</v>
      </c>
      <c r="J8" s="16">
        <f>'3 - Income Statement'!J21</f>
        <v>7613.9175385924545</v>
      </c>
      <c r="K8" s="16">
        <f>'3 - Income Statement'!K21</f>
        <v>7926.0881576747415</v>
      </c>
      <c r="L8" s="16">
        <f>'3 - Income Statement'!L21</f>
        <v>8251.0577721394129</v>
      </c>
      <c r="M8" s="16">
        <f>'3 - Income Statement'!M21</f>
        <v>8589.3511407971218</v>
      </c>
      <c r="N8" s="16"/>
    </row>
    <row r="9" spans="1:14" x14ac:dyDescent="0.15">
      <c r="A9" s="55" t="s">
        <v>67</v>
      </c>
      <c r="B9" s="47"/>
      <c r="C9" s="47"/>
      <c r="D9" s="16">
        <v>1987.3</v>
      </c>
      <c r="E9" s="16">
        <v>1847.1</v>
      </c>
      <c r="F9" s="16">
        <v>1267.4000000000001</v>
      </c>
      <c r="G9" s="16">
        <v>1067</v>
      </c>
      <c r="H9" s="16">
        <v>1279.4000000000001</v>
      </c>
      <c r="I9" s="16">
        <f>'6 - Supporting Schedules'!I18</f>
        <v>1438.9439999999995</v>
      </c>
      <c r="J9" s="16">
        <f>'6 - Supporting Schedules'!J18</f>
        <v>1444.1528025599996</v>
      </c>
      <c r="K9" s="16">
        <f>'6 - Supporting Schedules'!K18</f>
        <v>1456.0297141977599</v>
      </c>
      <c r="L9" s="16">
        <f>'6 - Supporting Schedules'!L18</f>
        <v>1474.0735816047322</v>
      </c>
      <c r="M9" s="16">
        <f>'6 - Supporting Schedules'!M18</f>
        <v>1497.8556496804065</v>
      </c>
      <c r="N9" s="16"/>
    </row>
    <row r="10" spans="1:14" x14ac:dyDescent="0.15">
      <c r="A10" s="55" t="s">
        <v>68</v>
      </c>
      <c r="B10" s="47"/>
      <c r="C10" s="47"/>
      <c r="D10" s="16">
        <v>575.79999999999995</v>
      </c>
      <c r="E10" s="16">
        <v>-1532.4</v>
      </c>
      <c r="F10" s="16">
        <v>232.9</v>
      </c>
      <c r="G10" s="16">
        <v>1994.2</v>
      </c>
      <c r="H10" s="16">
        <v>-3073.4</v>
      </c>
      <c r="I10" s="16">
        <v>-360.5800000000001</v>
      </c>
      <c r="J10" s="16">
        <v>-360.5800000000001</v>
      </c>
      <c r="K10" s="16">
        <v>-360.5800000000001</v>
      </c>
      <c r="L10" s="16">
        <v>-360.5800000000001</v>
      </c>
      <c r="M10" s="16">
        <v>-360.5800000000001</v>
      </c>
      <c r="N10" s="16"/>
    </row>
    <row r="11" spans="1:14" x14ac:dyDescent="0.15">
      <c r="A11" s="55" t="s">
        <v>69</v>
      </c>
      <c r="B11" s="47"/>
      <c r="C11" s="47"/>
      <c r="D11" s="16">
        <v>-349.4</v>
      </c>
      <c r="E11" s="16">
        <v>-1983.1</v>
      </c>
      <c r="F11" s="16">
        <v>807</v>
      </c>
      <c r="G11" s="16">
        <v>-218.6</v>
      </c>
      <c r="H11" s="16">
        <v>-3078</v>
      </c>
      <c r="I11" s="16">
        <f>'4 - Balance Sheet'!I10-'4 - Balance Sheet'!H10</f>
        <v>-622.40423452054802</v>
      </c>
      <c r="J11" s="16">
        <f>'4 - Balance Sheet'!J10-'4 - Balance Sheet'!I10</f>
        <v>251.15352638465811</v>
      </c>
      <c r="K11" s="16">
        <f>'4 - Balance Sheet'!K10-'4 - Balance Sheet'!J10</f>
        <v>261.45082096642818</v>
      </c>
      <c r="L11" s="16">
        <f>'4 - Balance Sheet'!L10-'4 - Balance Sheet'!K10</f>
        <v>272.1703046260518</v>
      </c>
      <c r="M11" s="16">
        <f>'4 - Balance Sheet'!M10-'4 - Balance Sheet'!L10</f>
        <v>283.32928711572004</v>
      </c>
      <c r="N11" s="16"/>
    </row>
    <row r="12" spans="1:14" x14ac:dyDescent="0.15">
      <c r="A12" s="55" t="s">
        <v>70</v>
      </c>
      <c r="B12" s="47"/>
      <c r="C12" s="47"/>
      <c r="D12" s="16">
        <v>-521.29999999999995</v>
      </c>
      <c r="E12" s="16">
        <v>-1496.9</v>
      </c>
      <c r="F12" s="16">
        <v>311.3</v>
      </c>
      <c r="G12" s="16">
        <v>-196.8</v>
      </c>
      <c r="H12" s="16">
        <v>-330.1</v>
      </c>
      <c r="I12" s="16">
        <f>'4 - Balance Sheet'!I11-'4 - Balance Sheet'!H11</f>
        <v>1030.6908107397257</v>
      </c>
      <c r="J12" s="16">
        <f>'4 - Balance Sheet'!J11-'4 - Balance Sheet'!I11</f>
        <v>237.00012324032832</v>
      </c>
      <c r="K12" s="16">
        <f>'4 - Balance Sheet'!K11-'4 - Balance Sheet'!J11</f>
        <v>246.71712829318403</v>
      </c>
      <c r="L12" s="16">
        <f>'4 - Balance Sheet'!L11-'4 - Balance Sheet'!K11</f>
        <v>256.83253055320165</v>
      </c>
      <c r="M12" s="16">
        <f>'4 - Balance Sheet'!M11-'4 - Balance Sheet'!L11</f>
        <v>267.36266430588512</v>
      </c>
      <c r="N12" s="16"/>
    </row>
    <row r="13" spans="1:14" x14ac:dyDescent="0.15">
      <c r="A13" s="55" t="s">
        <v>71</v>
      </c>
      <c r="B13" s="47"/>
      <c r="C13" s="47"/>
      <c r="D13" s="16">
        <v>817.2</v>
      </c>
      <c r="E13" s="16">
        <v>3028.2</v>
      </c>
      <c r="F13" s="16">
        <v>-287</v>
      </c>
      <c r="G13" s="16">
        <v>220.7</v>
      </c>
      <c r="H13" s="16">
        <v>3544.4</v>
      </c>
      <c r="I13" s="16">
        <f>'4 - Balance Sheet'!I19-'4 - Balance Sheet'!H19</f>
        <v>824.6109435616454</v>
      </c>
      <c r="J13" s="16">
        <f>'4 - Balance Sheet'!J19-'4 - Balance Sheet'!I19</f>
        <v>70.123986884382248</v>
      </c>
      <c r="K13" s="16">
        <f>'4 - Balance Sheet'!K19-'4 - Balance Sheet'!J19</f>
        <v>52.776354912777606</v>
      </c>
      <c r="L13" s="16">
        <f>'4 - Balance Sheet'!L19-'4 - Balance Sheet'!K19</f>
        <v>33.888338697543077</v>
      </c>
      <c r="M13" s="16">
        <f>'4 - Balance Sheet'!M19-'4 - Balance Sheet'!L19</f>
        <v>13.362788100055695</v>
      </c>
      <c r="N13" s="16"/>
    </row>
    <row r="14" spans="1:14" x14ac:dyDescent="0.15">
      <c r="A14" s="55" t="s">
        <v>72</v>
      </c>
      <c r="B14" s="47"/>
      <c r="C14" s="47"/>
      <c r="D14" s="16">
        <f t="shared" ref="D14:M14" si="0">SUM(D8:D13)</f>
        <v>9394.4000000000015</v>
      </c>
      <c r="E14" s="16">
        <f t="shared" si="0"/>
        <v>8045.8</v>
      </c>
      <c r="F14" s="16">
        <f t="shared" si="0"/>
        <v>9493.1999999999989</v>
      </c>
      <c r="G14" s="16">
        <f t="shared" si="0"/>
        <v>8817.0000000000018</v>
      </c>
      <c r="H14" s="16">
        <f t="shared" si="0"/>
        <v>9466.5999999999985</v>
      </c>
      <c r="I14" s="16">
        <f t="shared" si="0"/>
        <v>9625.3033435968209</v>
      </c>
      <c r="J14" s="16">
        <f t="shared" si="0"/>
        <v>9255.7679776618224</v>
      </c>
      <c r="K14" s="16">
        <f t="shared" si="0"/>
        <v>9582.482176044894</v>
      </c>
      <c r="L14" s="16">
        <f t="shared" si="0"/>
        <v>9927.4425276209422</v>
      </c>
      <c r="M14" s="16">
        <f t="shared" si="0"/>
        <v>10290.681529999189</v>
      </c>
      <c r="N14" s="16"/>
    </row>
    <row r="15" spans="1:14" x14ac:dyDescent="0.15">
      <c r="A15" s="24"/>
      <c r="B15" s="17"/>
      <c r="C15" s="17"/>
      <c r="D15" s="16"/>
      <c r="E15" s="16"/>
      <c r="F15" s="16"/>
      <c r="G15" s="16"/>
      <c r="H15" s="16"/>
      <c r="I15" s="16"/>
      <c r="J15" s="16"/>
      <c r="K15" s="16"/>
      <c r="L15" s="16"/>
      <c r="M15" s="16"/>
      <c r="N15" s="16"/>
    </row>
    <row r="16" spans="1:14" x14ac:dyDescent="0.15">
      <c r="A16" s="55" t="s">
        <v>73</v>
      </c>
      <c r="B16" s="47"/>
      <c r="C16" s="47"/>
      <c r="D16" s="16">
        <v>-1261.0999999999999</v>
      </c>
      <c r="E16" s="16">
        <v>-1559.1</v>
      </c>
      <c r="F16" s="16">
        <v>-1318.2</v>
      </c>
      <c r="G16" s="16">
        <v>-1430.6</v>
      </c>
      <c r="H16" s="16">
        <v>-1664.7</v>
      </c>
      <c r="I16" s="16">
        <f>-'2 - Assumptions and Notes'!I17*'3 - Income Statement'!I8</f>
        <v>-1482.350688</v>
      </c>
      <c r="J16" s="16">
        <f>-'2 - Assumptions and Notes'!J17*'3 - Income Statement'!J8</f>
        <v>-1543.1270662080001</v>
      </c>
      <c r="K16" s="16">
        <f>-'2 - Assumptions and Notes'!K17*'3 - Income Statement'!K8</f>
        <v>-1606.3952759225281</v>
      </c>
      <c r="L16" s="16">
        <f>-'2 - Assumptions and Notes'!L17*'3 - Income Statement'!L8</f>
        <v>-1672.2574822353517</v>
      </c>
      <c r="M16" s="16">
        <f>-'2 - Assumptions and Notes'!M17*'3 - Income Statement'!M8</f>
        <v>-1740.8200390070012</v>
      </c>
      <c r="N16" s="16"/>
    </row>
    <row r="17" spans="1:14" x14ac:dyDescent="0.15">
      <c r="A17" s="55" t="s">
        <v>74</v>
      </c>
      <c r="B17" s="47"/>
      <c r="C17" s="47"/>
      <c r="D17" s="16">
        <v>-2433.4</v>
      </c>
      <c r="E17" s="16">
        <v>4185.6000000000004</v>
      </c>
      <c r="F17" s="16">
        <v>-1214.5</v>
      </c>
      <c r="G17" s="16">
        <v>783.1</v>
      </c>
      <c r="H17" s="16">
        <v>-1998.4</v>
      </c>
      <c r="I17" s="16">
        <v>-135.52000000000001</v>
      </c>
      <c r="J17" s="16">
        <v>-135.52000000000001</v>
      </c>
      <c r="K17" s="16">
        <v>-135.52000000000001</v>
      </c>
      <c r="L17" s="16">
        <v>-135.52000000000001</v>
      </c>
      <c r="M17" s="16">
        <v>-135.52000000000001</v>
      </c>
      <c r="N17" s="16"/>
    </row>
    <row r="18" spans="1:14" x14ac:dyDescent="0.15">
      <c r="A18" s="55" t="s">
        <v>75</v>
      </c>
      <c r="B18" s="47"/>
      <c r="C18" s="47"/>
      <c r="D18" s="16">
        <f>D17+D16</f>
        <v>-3694.5</v>
      </c>
      <c r="E18" s="16">
        <f>E17+E16</f>
        <v>2626.5000000000005</v>
      </c>
      <c r="F18" s="16">
        <f>F17+F16</f>
        <v>-2532.6999999999998</v>
      </c>
      <c r="G18" s="16">
        <f>G17+G16</f>
        <v>-647.49999999999989</v>
      </c>
      <c r="H18" s="16">
        <f>H17+H16</f>
        <v>-3663.1000000000004</v>
      </c>
      <c r="I18" s="16">
        <f>I16+I17</f>
        <v>-1617.870688</v>
      </c>
      <c r="J18" s="16">
        <f>J16+J17</f>
        <v>-1678.6470662080001</v>
      </c>
      <c r="K18" s="16">
        <f>K16+K17</f>
        <v>-1741.9152759225281</v>
      </c>
      <c r="L18" s="16">
        <f>L16+L17</f>
        <v>-1807.7774822353517</v>
      </c>
      <c r="M18" s="16">
        <f>M16+M17</f>
        <v>-1876.3400390070012</v>
      </c>
      <c r="N18" s="16"/>
    </row>
    <row r="19" spans="1:14" x14ac:dyDescent="0.15">
      <c r="A19" s="24"/>
      <c r="B19" s="17"/>
      <c r="C19" s="17"/>
      <c r="D19" s="16"/>
      <c r="E19" s="16"/>
      <c r="F19" s="16"/>
      <c r="G19" s="16"/>
      <c r="H19" s="16"/>
      <c r="I19" s="16"/>
      <c r="J19" s="16"/>
      <c r="K19" s="16"/>
      <c r="L19" s="16"/>
      <c r="M19" s="16"/>
      <c r="N19" s="16"/>
    </row>
    <row r="20" spans="1:14" x14ac:dyDescent="0.15">
      <c r="A20" s="55" t="s">
        <v>76</v>
      </c>
      <c r="B20" s="47"/>
      <c r="C20" s="47"/>
      <c r="D20" s="16">
        <v>6150.7</v>
      </c>
      <c r="E20" s="16">
        <v>8326.4</v>
      </c>
      <c r="F20" s="16">
        <v>4877.5</v>
      </c>
      <c r="G20" s="16">
        <v>4981.8999999999996</v>
      </c>
      <c r="H20" s="16">
        <v>5025.8</v>
      </c>
      <c r="I20" s="16">
        <f>'6 - Supporting Schedules'!I23</f>
        <v>5872.46</v>
      </c>
      <c r="J20" s="16">
        <f>'6 - Supporting Schedules'!J23</f>
        <v>5872.46</v>
      </c>
      <c r="K20" s="16">
        <f>'6 - Supporting Schedules'!K23</f>
        <v>5872.46</v>
      </c>
      <c r="L20" s="16">
        <f>'6 - Supporting Schedules'!L23</f>
        <v>5872.46</v>
      </c>
      <c r="M20" s="16">
        <f>'6 - Supporting Schedules'!M23</f>
        <v>5872.46</v>
      </c>
      <c r="N20" s="16"/>
    </row>
    <row r="21" spans="1:14" x14ac:dyDescent="0.15">
      <c r="A21" s="55" t="s">
        <v>77</v>
      </c>
      <c r="B21" s="47"/>
      <c r="C21" s="47"/>
      <c r="D21" s="16">
        <v>-4568.6000000000004</v>
      </c>
      <c r="E21" s="16">
        <v>-10175.6</v>
      </c>
      <c r="F21" s="16">
        <v>-4774.8</v>
      </c>
      <c r="G21" s="16">
        <v>-4338.5</v>
      </c>
      <c r="H21" s="16">
        <v>-7138.2</v>
      </c>
      <c r="I21" s="16">
        <f>'6 - Supporting Schedules'!I24</f>
        <v>-6199.14</v>
      </c>
      <c r="J21" s="16">
        <f>'6 - Supporting Schedules'!J24</f>
        <v>-6199.14</v>
      </c>
      <c r="K21" s="16">
        <f>'6 - Supporting Schedules'!K24</f>
        <v>-6199.14</v>
      </c>
      <c r="L21" s="16">
        <f>'6 - Supporting Schedules'!L24</f>
        <v>-6199.14</v>
      </c>
      <c r="M21" s="16">
        <f>'6 - Supporting Schedules'!M24</f>
        <v>-6199.14</v>
      </c>
      <c r="N21" s="16"/>
    </row>
    <row r="22" spans="1:14" x14ac:dyDescent="0.15">
      <c r="A22" s="55" t="s">
        <v>78</v>
      </c>
      <c r="B22" s="47"/>
      <c r="C22" s="47"/>
      <c r="D22" s="16">
        <v>-9661.9</v>
      </c>
      <c r="E22" s="16">
        <v>-7670</v>
      </c>
      <c r="F22" s="16">
        <v>-8043.7</v>
      </c>
      <c r="G22" s="16">
        <v>-7833.9</v>
      </c>
      <c r="H22" s="16">
        <v>-5892.9</v>
      </c>
      <c r="I22" s="16">
        <v>-6862.14</v>
      </c>
      <c r="J22" s="16">
        <v>-6862.14</v>
      </c>
      <c r="K22" s="16">
        <v>-6862.14</v>
      </c>
      <c r="L22" s="16">
        <v>-6862.14</v>
      </c>
      <c r="M22" s="16">
        <v>-6862.14</v>
      </c>
      <c r="N22" s="16"/>
    </row>
    <row r="23" spans="1:14" x14ac:dyDescent="0.15">
      <c r="A23" s="55" t="s">
        <v>79</v>
      </c>
      <c r="B23" s="47"/>
      <c r="C23" s="47"/>
      <c r="D23" s="16">
        <f t="shared" ref="D23:M23" si="1">D20+D21+D22</f>
        <v>-8079.8</v>
      </c>
      <c r="E23" s="16">
        <f t="shared" si="1"/>
        <v>-9519.2000000000007</v>
      </c>
      <c r="F23" s="16">
        <f t="shared" si="1"/>
        <v>-7941</v>
      </c>
      <c r="G23" s="16">
        <f t="shared" si="1"/>
        <v>-7190.5</v>
      </c>
      <c r="H23" s="16">
        <f t="shared" si="1"/>
        <v>-8005.2999999999993</v>
      </c>
      <c r="I23" s="16">
        <f t="shared" si="1"/>
        <v>-7188.8200000000006</v>
      </c>
      <c r="J23" s="16">
        <f t="shared" si="1"/>
        <v>-7188.8200000000006</v>
      </c>
      <c r="K23" s="16">
        <f t="shared" si="1"/>
        <v>-7188.8200000000006</v>
      </c>
      <c r="L23" s="16">
        <f t="shared" si="1"/>
        <v>-7188.8200000000006</v>
      </c>
      <c r="M23" s="16">
        <f t="shared" si="1"/>
        <v>-7188.8200000000006</v>
      </c>
      <c r="N23" s="16"/>
    </row>
    <row r="24" spans="1:14" x14ac:dyDescent="0.15">
      <c r="A24" s="17"/>
      <c r="B24" s="17"/>
      <c r="C24" s="17"/>
      <c r="D24" s="16"/>
      <c r="E24" s="16"/>
      <c r="F24" s="16"/>
      <c r="G24" s="16"/>
      <c r="H24" s="16"/>
      <c r="I24" s="16"/>
      <c r="J24" s="16"/>
      <c r="K24" s="16"/>
      <c r="L24" s="16"/>
      <c r="M24" s="16"/>
      <c r="N24" s="16"/>
    </row>
    <row r="25" spans="1:14" x14ac:dyDescent="0.15">
      <c r="A25" s="46" t="s">
        <v>80</v>
      </c>
      <c r="B25" s="47"/>
      <c r="C25" s="47"/>
      <c r="D25" s="16">
        <f t="shared" ref="D25:M25" si="2">D14+D18+D23</f>
        <v>-2379.8999999999987</v>
      </c>
      <c r="E25" s="16">
        <f t="shared" si="2"/>
        <v>1153.1000000000004</v>
      </c>
      <c r="F25" s="16">
        <f t="shared" si="2"/>
        <v>-980.50000000000091</v>
      </c>
      <c r="G25" s="16">
        <f t="shared" si="2"/>
        <v>979.00000000000182</v>
      </c>
      <c r="H25" s="16">
        <f t="shared" si="2"/>
        <v>-2201.8000000000011</v>
      </c>
      <c r="I25" s="16">
        <f t="shared" si="2"/>
        <v>818.61265559682033</v>
      </c>
      <c r="J25" s="16">
        <f t="shared" si="2"/>
        <v>388.30091145382175</v>
      </c>
      <c r="K25" s="16">
        <f t="shared" si="2"/>
        <v>651.74690012236533</v>
      </c>
      <c r="L25" s="16">
        <f t="shared" si="2"/>
        <v>930.84504538559031</v>
      </c>
      <c r="M25" s="16">
        <f t="shared" si="2"/>
        <v>1225.521490992186</v>
      </c>
      <c r="N25" s="16"/>
    </row>
    <row r="26" spans="1:14" x14ac:dyDescent="0.15">
      <c r="A26" s="46" t="s">
        <v>81</v>
      </c>
      <c r="B26" s="47"/>
      <c r="C26" s="47"/>
      <c r="D26" s="16">
        <v>0</v>
      </c>
      <c r="E26" s="16">
        <f t="shared" ref="E26:M26" si="3">D27</f>
        <v>5128.6000000000004</v>
      </c>
      <c r="F26" s="16">
        <f t="shared" si="3"/>
        <v>6281.7000000000007</v>
      </c>
      <c r="G26" s="16">
        <f t="shared" si="3"/>
        <v>5301.2</v>
      </c>
      <c r="H26" s="16">
        <f t="shared" si="3"/>
        <v>6280.2000000000016</v>
      </c>
      <c r="I26" s="16">
        <f t="shared" si="3"/>
        <v>4078.4000000000005</v>
      </c>
      <c r="J26" s="16">
        <f t="shared" si="3"/>
        <v>4897.0126555968209</v>
      </c>
      <c r="K26" s="16">
        <f t="shared" si="3"/>
        <v>5285.3135670506426</v>
      </c>
      <c r="L26" s="16">
        <f t="shared" si="3"/>
        <v>5937.060467173008</v>
      </c>
      <c r="M26" s="16">
        <f t="shared" si="3"/>
        <v>6867.9055125585983</v>
      </c>
      <c r="N26" s="16"/>
    </row>
    <row r="27" spans="1:14" x14ac:dyDescent="0.15">
      <c r="A27" s="46" t="s">
        <v>82</v>
      </c>
      <c r="B27" s="47"/>
      <c r="C27" s="47"/>
      <c r="D27" s="16">
        <f>'4 - Balance Sheet'!D9</f>
        <v>5128.6000000000004</v>
      </c>
      <c r="E27" s="16">
        <f t="shared" ref="E27:M27" si="4">E25+E26</f>
        <v>6281.7000000000007</v>
      </c>
      <c r="F27" s="16">
        <f t="shared" si="4"/>
        <v>5301.2</v>
      </c>
      <c r="G27" s="16">
        <f t="shared" si="4"/>
        <v>6280.2000000000016</v>
      </c>
      <c r="H27" s="16">
        <f t="shared" si="4"/>
        <v>4078.4000000000005</v>
      </c>
      <c r="I27" s="16">
        <f t="shared" si="4"/>
        <v>4897.0126555968209</v>
      </c>
      <c r="J27" s="16">
        <f t="shared" si="4"/>
        <v>5285.3135670506426</v>
      </c>
      <c r="K27" s="16">
        <f t="shared" si="4"/>
        <v>5937.060467173008</v>
      </c>
      <c r="L27" s="16">
        <f t="shared" si="4"/>
        <v>6867.9055125585983</v>
      </c>
      <c r="M27" s="16">
        <f t="shared" si="4"/>
        <v>8093.4270035507843</v>
      </c>
      <c r="N27" s="16"/>
    </row>
    <row r="28" spans="1:14" x14ac:dyDescent="0.15">
      <c r="A28" s="17"/>
      <c r="B28" s="17"/>
      <c r="C28" s="17"/>
      <c r="D28" s="16"/>
      <c r="E28" s="16"/>
      <c r="F28" s="16"/>
      <c r="G28" s="16"/>
      <c r="H28" s="16"/>
      <c r="I28" s="16"/>
      <c r="J28" s="16"/>
      <c r="K28" s="16"/>
      <c r="L28" s="16"/>
      <c r="M28" s="16"/>
      <c r="N28" s="16"/>
    </row>
    <row r="29" spans="1:14" x14ac:dyDescent="0.15">
      <c r="A29" s="16"/>
      <c r="B29" s="16"/>
      <c r="C29" s="16"/>
      <c r="D29" s="16"/>
      <c r="E29" s="16"/>
      <c r="F29" s="16"/>
      <c r="G29" s="16"/>
      <c r="H29" s="16"/>
      <c r="I29" s="16"/>
      <c r="J29" s="16"/>
      <c r="K29" s="16"/>
      <c r="L29" s="16"/>
      <c r="M29" s="16"/>
      <c r="N29" s="16"/>
    </row>
    <row r="30" spans="1:14" x14ac:dyDescent="0.15">
      <c r="A30" s="16"/>
      <c r="B30" s="16"/>
      <c r="C30" s="16"/>
      <c r="D30" s="16"/>
      <c r="E30" s="16"/>
      <c r="F30" s="16"/>
      <c r="G30" s="16"/>
      <c r="H30" s="16"/>
      <c r="I30" s="16"/>
      <c r="J30" s="16"/>
      <c r="K30" s="16"/>
      <c r="L30" s="16"/>
      <c r="M30" s="16"/>
      <c r="N30" s="16"/>
    </row>
    <row r="31" spans="1:14" x14ac:dyDescent="0.15">
      <c r="A31" s="16"/>
      <c r="B31" s="16"/>
      <c r="C31" s="16"/>
      <c r="D31" s="16"/>
      <c r="E31" s="16"/>
      <c r="F31" s="16"/>
      <c r="G31" s="16"/>
      <c r="H31" s="16"/>
      <c r="I31" s="16"/>
      <c r="J31" s="16"/>
      <c r="K31" s="16"/>
      <c r="L31" s="16"/>
      <c r="M31" s="16"/>
      <c r="N31" s="16"/>
    </row>
    <row r="32" spans="1:14" x14ac:dyDescent="0.15">
      <c r="A32" s="16"/>
      <c r="B32" s="16"/>
      <c r="C32" s="16"/>
      <c r="D32" s="16"/>
      <c r="E32" s="16"/>
      <c r="F32" s="16"/>
      <c r="G32" s="16"/>
      <c r="H32" s="16"/>
      <c r="I32" s="16"/>
      <c r="J32" s="16"/>
      <c r="K32" s="16"/>
      <c r="L32" s="16"/>
      <c r="M32" s="16"/>
      <c r="N32" s="16"/>
    </row>
    <row r="33" spans="1:14" x14ac:dyDescent="0.15">
      <c r="A33" s="16"/>
      <c r="B33" s="16"/>
      <c r="C33" s="16"/>
      <c r="D33" s="16"/>
      <c r="E33" s="16"/>
      <c r="F33" s="16"/>
      <c r="G33" s="16"/>
      <c r="H33" s="16"/>
      <c r="I33" s="16"/>
      <c r="J33" s="16"/>
      <c r="K33" s="16"/>
      <c r="L33" s="16"/>
      <c r="M33" s="16"/>
      <c r="N33" s="16"/>
    </row>
    <row r="34" spans="1:14" x14ac:dyDescent="0.15">
      <c r="A34" s="16"/>
      <c r="B34" s="16"/>
      <c r="C34" s="16"/>
      <c r="D34" s="16"/>
      <c r="E34" s="16"/>
      <c r="F34" s="16"/>
      <c r="G34" s="16"/>
      <c r="H34" s="16"/>
      <c r="I34" s="16"/>
      <c r="J34" s="16"/>
      <c r="K34" s="16"/>
      <c r="L34" s="16"/>
      <c r="M34" s="16"/>
      <c r="N34" s="16"/>
    </row>
    <row r="35" spans="1:14" x14ac:dyDescent="0.15">
      <c r="A35" s="16"/>
      <c r="B35" s="16"/>
      <c r="C35" s="16"/>
      <c r="D35" s="16"/>
      <c r="E35" s="16"/>
      <c r="F35" s="16"/>
      <c r="G35" s="16"/>
      <c r="H35" s="16"/>
      <c r="I35" s="16"/>
      <c r="J35" s="16"/>
      <c r="K35" s="16"/>
      <c r="L35" s="16"/>
      <c r="M35" s="16"/>
      <c r="N35" s="16"/>
    </row>
    <row r="36" spans="1:14" x14ac:dyDescent="0.15">
      <c r="A36" s="16"/>
      <c r="B36" s="16"/>
      <c r="C36" s="16"/>
      <c r="D36" s="16"/>
      <c r="E36" s="16"/>
      <c r="F36" s="16"/>
      <c r="G36" s="16"/>
      <c r="H36" s="16"/>
      <c r="I36" s="16"/>
      <c r="J36" s="16"/>
      <c r="K36" s="16"/>
      <c r="L36" s="16"/>
      <c r="M36" s="16"/>
      <c r="N36" s="16"/>
    </row>
    <row r="37" spans="1:14" x14ac:dyDescent="0.15">
      <c r="A37" s="16"/>
      <c r="B37" s="16"/>
      <c r="C37" s="16"/>
      <c r="D37" s="16"/>
      <c r="E37" s="16"/>
      <c r="F37" s="16"/>
      <c r="G37" s="16"/>
      <c r="H37" s="16"/>
      <c r="I37" s="16"/>
      <c r="J37" s="16"/>
      <c r="K37" s="16"/>
      <c r="L37" s="16"/>
      <c r="M37" s="16"/>
      <c r="N37" s="16"/>
    </row>
    <row r="38" spans="1:14" x14ac:dyDescent="0.15">
      <c r="A38" s="16"/>
      <c r="B38" s="16"/>
      <c r="C38" s="16"/>
      <c r="D38" s="16"/>
      <c r="E38" s="16"/>
      <c r="F38" s="16"/>
      <c r="G38" s="16"/>
      <c r="H38" s="16"/>
      <c r="I38" s="16"/>
      <c r="J38" s="16"/>
      <c r="K38" s="16"/>
      <c r="L38" s="16"/>
      <c r="M38" s="16"/>
      <c r="N38" s="16"/>
    </row>
    <row r="39" spans="1:14" x14ac:dyDescent="0.15">
      <c r="A39" s="16"/>
      <c r="B39" s="16"/>
      <c r="C39" s="16"/>
      <c r="D39" s="16"/>
      <c r="E39" s="16"/>
      <c r="F39" s="16"/>
      <c r="G39" s="16"/>
      <c r="H39" s="16"/>
      <c r="I39" s="16"/>
      <c r="J39" s="16"/>
      <c r="K39" s="16"/>
      <c r="L39" s="16"/>
      <c r="M39" s="16"/>
      <c r="N39" s="16"/>
    </row>
    <row r="40" spans="1:14" x14ac:dyDescent="0.15">
      <c r="A40" s="20"/>
      <c r="B40" s="20"/>
      <c r="C40" s="20"/>
      <c r="D40" s="20"/>
      <c r="E40" s="20"/>
      <c r="F40" s="20"/>
      <c r="G40" s="20"/>
      <c r="H40" s="20"/>
      <c r="I40" s="20"/>
      <c r="J40" s="20"/>
      <c r="K40" s="20"/>
      <c r="L40" s="20"/>
      <c r="M40" s="21" t="s">
        <v>4</v>
      </c>
      <c r="N40" s="20">
        <v>1</v>
      </c>
    </row>
  </sheetData>
  <mergeCells count="25">
    <mergeCell ref="G1:I1"/>
    <mergeCell ref="A10:C10"/>
    <mergeCell ref="A13:C13"/>
    <mergeCell ref="E2:F2"/>
    <mergeCell ref="J1:N2"/>
    <mergeCell ref="A9:C9"/>
    <mergeCell ref="D4:H4"/>
    <mergeCell ref="I4:M4"/>
    <mergeCell ref="G2:I2"/>
    <mergeCell ref="A11:C11"/>
    <mergeCell ref="E1:F1"/>
    <mergeCell ref="A8:C8"/>
    <mergeCell ref="A14:C14"/>
    <mergeCell ref="A22:C22"/>
    <mergeCell ref="A17:C17"/>
    <mergeCell ref="A20:C20"/>
    <mergeCell ref="A16:C16"/>
    <mergeCell ref="A25:C25"/>
    <mergeCell ref="A1:D2"/>
    <mergeCell ref="A18:C18"/>
    <mergeCell ref="A27:C27"/>
    <mergeCell ref="A21:C21"/>
    <mergeCell ref="A12:C12"/>
    <mergeCell ref="A26:C26"/>
    <mergeCell ref="A23:C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0"/>
  <sheetViews>
    <sheetView tabSelected="1" zoomScale="140" workbookViewId="0">
      <selection activeCell="B21" sqref="B21"/>
    </sheetView>
  </sheetViews>
  <sheetFormatPr baseColWidth="10" defaultRowHeight="14" x14ac:dyDescent="0.15"/>
  <cols>
    <col min="1" max="31" width="10.83203125" style="15" customWidth="1"/>
    <col min="32" max="16384" width="10.83203125" style="15"/>
  </cols>
  <sheetData>
    <row r="1" spans="1:14" ht="16" customHeight="1" thickBot="1" x14ac:dyDescent="0.25">
      <c r="A1" s="45" t="s">
        <v>83</v>
      </c>
      <c r="B1" s="30"/>
      <c r="C1" s="30"/>
      <c r="D1" s="31"/>
      <c r="E1" s="48" t="s">
        <v>0</v>
      </c>
      <c r="F1" s="30"/>
      <c r="G1" s="50">
        <v>46157</v>
      </c>
      <c r="H1" s="30"/>
      <c r="I1" s="30"/>
      <c r="J1" s="52" t="s">
        <v>1</v>
      </c>
      <c r="K1" s="30"/>
      <c r="L1" s="30"/>
      <c r="M1" s="30"/>
      <c r="N1" s="37"/>
    </row>
    <row r="2" spans="1:14" ht="16" customHeight="1" thickBot="1" x14ac:dyDescent="0.25">
      <c r="A2" s="32"/>
      <c r="B2" s="28"/>
      <c r="C2" s="28"/>
      <c r="D2" s="33"/>
      <c r="E2" s="51" t="s">
        <v>2</v>
      </c>
      <c r="F2" s="28"/>
      <c r="G2" s="53" t="s">
        <v>3</v>
      </c>
      <c r="H2" s="28"/>
      <c r="I2" s="28"/>
      <c r="J2" s="38"/>
      <c r="K2" s="28"/>
      <c r="L2" s="28"/>
      <c r="M2" s="28"/>
      <c r="N2" s="39"/>
    </row>
    <row r="3" spans="1:14" x14ac:dyDescent="0.15">
      <c r="A3" s="16"/>
      <c r="B3" s="16"/>
      <c r="C3" s="16"/>
      <c r="D3" s="16"/>
      <c r="E3" s="16"/>
      <c r="F3" s="16"/>
      <c r="G3" s="16"/>
      <c r="H3" s="16"/>
      <c r="I3" s="16"/>
      <c r="J3" s="16"/>
      <c r="K3" s="16"/>
      <c r="L3" s="16"/>
      <c r="M3" s="16"/>
      <c r="N3" s="16"/>
    </row>
    <row r="4" spans="1:14" ht="16" customHeight="1" x14ac:dyDescent="0.2">
      <c r="A4" s="5"/>
      <c r="B4" s="5"/>
      <c r="C4" s="5"/>
      <c r="D4" s="43" t="s">
        <v>7</v>
      </c>
      <c r="E4" s="47"/>
      <c r="F4" s="47"/>
      <c r="G4" s="47"/>
      <c r="H4" s="44"/>
      <c r="I4" s="41" t="s">
        <v>8</v>
      </c>
      <c r="J4" s="47"/>
      <c r="K4" s="47"/>
      <c r="L4" s="47"/>
      <c r="M4" s="47"/>
      <c r="N4" s="16"/>
    </row>
    <row r="5" spans="1:14" ht="16" customHeight="1" x14ac:dyDescent="0.2">
      <c r="A5" s="5" t="s">
        <v>83</v>
      </c>
      <c r="B5" s="5"/>
      <c r="C5" s="5"/>
      <c r="D5" s="5"/>
      <c r="E5" s="5"/>
      <c r="F5" s="5"/>
      <c r="G5" s="5"/>
      <c r="H5" s="5"/>
      <c r="I5" s="5"/>
      <c r="J5" s="5"/>
      <c r="K5" s="5"/>
      <c r="L5" s="5"/>
      <c r="M5" s="5"/>
      <c r="N5" s="16"/>
    </row>
    <row r="6" spans="1:14" ht="17" customHeight="1" thickBot="1" x14ac:dyDescent="0.25">
      <c r="A6" s="6" t="s">
        <v>10</v>
      </c>
      <c r="B6" s="6"/>
      <c r="C6" s="6"/>
      <c r="D6" s="6">
        <v>2021</v>
      </c>
      <c r="E6" s="6">
        <v>2022</v>
      </c>
      <c r="F6" s="6">
        <v>2023</v>
      </c>
      <c r="G6" s="6">
        <v>2024</v>
      </c>
      <c r="H6" s="6">
        <v>2025</v>
      </c>
      <c r="I6" s="6">
        <v>2026</v>
      </c>
      <c r="J6" s="6">
        <v>2027</v>
      </c>
      <c r="K6" s="6">
        <v>2028</v>
      </c>
      <c r="L6" s="6">
        <v>2029</v>
      </c>
      <c r="M6" s="6">
        <v>2030</v>
      </c>
      <c r="N6" s="16"/>
    </row>
    <row r="7" spans="1:14" x14ac:dyDescent="0.15">
      <c r="A7" s="16"/>
      <c r="B7" s="16"/>
      <c r="C7" s="16"/>
      <c r="D7" s="16"/>
      <c r="E7" s="16"/>
      <c r="F7" s="16"/>
      <c r="G7" s="16"/>
      <c r="H7" s="16"/>
      <c r="I7" s="16"/>
      <c r="J7" s="16"/>
      <c r="K7" s="16"/>
      <c r="L7" s="16"/>
      <c r="M7" s="16"/>
      <c r="N7" s="16"/>
    </row>
    <row r="8" spans="1:14" ht="16" customHeight="1" x14ac:dyDescent="0.2">
      <c r="A8" s="25" t="s">
        <v>84</v>
      </c>
      <c r="B8" s="16"/>
      <c r="C8" s="16"/>
      <c r="D8" s="16"/>
      <c r="E8" s="16"/>
      <c r="F8" s="16"/>
      <c r="G8" s="16"/>
      <c r="H8" s="16"/>
      <c r="I8" s="16"/>
      <c r="J8" s="16"/>
      <c r="K8" s="16"/>
      <c r="L8" s="16"/>
      <c r="M8" s="16"/>
      <c r="N8" s="16"/>
    </row>
    <row r="9" spans="1:14" ht="16" customHeight="1" x14ac:dyDescent="0.2">
      <c r="A9" s="22" t="s">
        <v>85</v>
      </c>
      <c r="B9" s="16"/>
      <c r="C9" s="16"/>
      <c r="D9" s="22">
        <v>5126.3</v>
      </c>
      <c r="E9" s="22">
        <v>6079.9</v>
      </c>
      <c r="F9" s="22">
        <v>5994.7</v>
      </c>
      <c r="G9" s="22">
        <v>5368.3</v>
      </c>
      <c r="H9" s="22">
        <v>6748.1</v>
      </c>
      <c r="I9" s="16">
        <v>6125.7</v>
      </c>
      <c r="J9" s="16">
        <v>6376.85</v>
      </c>
      <c r="K9" s="16">
        <v>6638.3</v>
      </c>
      <c r="L9" s="16">
        <v>6910.47</v>
      </c>
      <c r="M9" s="16">
        <v>7193.8</v>
      </c>
      <c r="N9" s="16"/>
    </row>
    <row r="10" spans="1:14" ht="16" customHeight="1" x14ac:dyDescent="0.2">
      <c r="A10" s="22" t="s">
        <v>47</v>
      </c>
      <c r="B10" s="16"/>
      <c r="C10" s="16"/>
      <c r="D10" s="22">
        <v>5330.1</v>
      </c>
      <c r="E10" s="22">
        <v>6350.8</v>
      </c>
      <c r="F10" s="22">
        <v>5651.4</v>
      </c>
      <c r="G10" s="22">
        <v>5363.1</v>
      </c>
      <c r="H10" s="22">
        <v>4749.8</v>
      </c>
      <c r="I10" s="16">
        <v>5780.49</v>
      </c>
      <c r="J10" s="16">
        <v>6017.49</v>
      </c>
      <c r="K10" s="16">
        <v>6264.21</v>
      </c>
      <c r="L10" s="16">
        <v>6521.04</v>
      </c>
      <c r="M10" s="16">
        <v>6788.4</v>
      </c>
      <c r="N10" s="16"/>
    </row>
    <row r="11" spans="1:14" ht="16" customHeight="1" x14ac:dyDescent="0.2">
      <c r="A11" s="22" t="s">
        <v>53</v>
      </c>
      <c r="B11" s="16"/>
      <c r="C11" s="16"/>
      <c r="D11" s="22">
        <v>10125.200000000001</v>
      </c>
      <c r="E11" s="22">
        <v>11885.6</v>
      </c>
      <c r="F11" s="22">
        <v>11431.9</v>
      </c>
      <c r="G11" s="22">
        <v>10626.7</v>
      </c>
      <c r="H11" s="22">
        <v>12915.9</v>
      </c>
      <c r="I11" s="16">
        <v>13740.51</v>
      </c>
      <c r="J11" s="16">
        <v>13810.63</v>
      </c>
      <c r="K11" s="16">
        <v>13863.41</v>
      </c>
      <c r="L11" s="16">
        <v>13897.3</v>
      </c>
      <c r="M11" s="16">
        <v>13910.66</v>
      </c>
      <c r="N11" s="16"/>
    </row>
    <row r="12" spans="1:14" ht="16" customHeight="1" x14ac:dyDescent="0.2">
      <c r="A12" s="26" t="s">
        <v>86</v>
      </c>
      <c r="B12" s="16"/>
      <c r="C12" s="16"/>
      <c r="D12" s="16">
        <f>D9+D10-D11</f>
        <v>331.20000000000073</v>
      </c>
      <c r="E12" s="16">
        <f>E9+E10-E11</f>
        <v>545.10000000000036</v>
      </c>
      <c r="F12" s="16">
        <f>F9+F10-F11</f>
        <v>214.19999999999891</v>
      </c>
      <c r="G12" s="16">
        <f>G9+G10-G11</f>
        <v>104.70000000000073</v>
      </c>
      <c r="H12" s="16">
        <f>H9+H10-H11</f>
        <v>-1417.9999999999982</v>
      </c>
      <c r="I12" s="16"/>
      <c r="J12" s="16"/>
      <c r="K12" s="16"/>
      <c r="L12" s="16"/>
      <c r="M12" s="16"/>
      <c r="N12" s="16"/>
    </row>
    <row r="13" spans="1:14" ht="16" customHeight="1" x14ac:dyDescent="0.2">
      <c r="A13" s="22" t="s">
        <v>87</v>
      </c>
      <c r="B13" s="16"/>
      <c r="C13" s="16"/>
      <c r="D13" s="16" t="s">
        <v>12</v>
      </c>
      <c r="E13" s="16">
        <f>D12-E12</f>
        <v>-213.89999999999964</v>
      </c>
      <c r="F13" s="16">
        <f>E12-F12</f>
        <v>330.90000000000146</v>
      </c>
      <c r="G13" s="16">
        <f>F12-G12</f>
        <v>109.49999999999818</v>
      </c>
      <c r="H13" s="16">
        <f>G12-H12</f>
        <v>1522.6999999999989</v>
      </c>
      <c r="I13" s="16"/>
      <c r="J13" s="16"/>
      <c r="K13" s="16"/>
      <c r="L13" s="16"/>
      <c r="M13" s="16"/>
      <c r="N13" s="16"/>
    </row>
    <row r="14" spans="1:14" ht="16" customHeight="1" x14ac:dyDescent="0.2">
      <c r="A14" s="22"/>
      <c r="B14" s="16"/>
      <c r="C14" s="16"/>
      <c r="D14" s="16"/>
      <c r="E14" s="16"/>
      <c r="F14" s="16"/>
      <c r="G14" s="16"/>
      <c r="H14" s="16"/>
      <c r="I14" s="16"/>
      <c r="J14" s="16"/>
      <c r="K14" s="16"/>
      <c r="L14" s="16"/>
      <c r="M14" s="16"/>
      <c r="N14" s="16"/>
    </row>
    <row r="15" spans="1:14" ht="16" customHeight="1" x14ac:dyDescent="0.2">
      <c r="A15" s="25" t="s">
        <v>88</v>
      </c>
      <c r="B15" s="16"/>
      <c r="C15" s="16"/>
      <c r="D15" s="16"/>
      <c r="E15" s="16"/>
      <c r="F15" s="16"/>
      <c r="G15" s="16"/>
      <c r="H15" s="16"/>
      <c r="I15" s="16"/>
      <c r="J15" s="16"/>
      <c r="K15" s="16"/>
      <c r="L15" s="16"/>
      <c r="M15" s="16"/>
      <c r="N15" s="16"/>
    </row>
    <row r="16" spans="1:14" ht="16" customHeight="1" x14ac:dyDescent="0.2">
      <c r="A16" s="22" t="s">
        <v>89</v>
      </c>
      <c r="B16" s="16"/>
      <c r="C16" s="16"/>
      <c r="D16" s="16">
        <v>11776.7</v>
      </c>
      <c r="E16" s="16">
        <f t="shared" ref="E16:M16" si="0">D19</f>
        <v>12502.9</v>
      </c>
      <c r="F16" s="16">
        <f t="shared" si="0"/>
        <v>12790.9</v>
      </c>
      <c r="G16" s="16">
        <f t="shared" si="0"/>
        <v>12740.099999999999</v>
      </c>
      <c r="H16" s="16">
        <f t="shared" si="0"/>
        <v>12376.499999999998</v>
      </c>
      <c r="I16" s="16">
        <f t="shared" si="0"/>
        <v>11991.199999999997</v>
      </c>
      <c r="J16" s="16">
        <f t="shared" si="0"/>
        <v>12034.606687999998</v>
      </c>
      <c r="K16" s="16">
        <f t="shared" si="0"/>
        <v>12133.580951647999</v>
      </c>
      <c r="L16" s="16">
        <f t="shared" si="0"/>
        <v>12283.946513372768</v>
      </c>
      <c r="M16" s="16">
        <f t="shared" si="0"/>
        <v>12482.130414003388</v>
      </c>
      <c r="N16" s="16"/>
    </row>
    <row r="17" spans="1:14" ht="16" customHeight="1" x14ac:dyDescent="0.2">
      <c r="A17" s="22" t="s">
        <v>90</v>
      </c>
      <c r="B17" s="16"/>
      <c r="C17" s="16"/>
      <c r="D17" s="16">
        <v>-1261.0999999999999</v>
      </c>
      <c r="E17" s="16">
        <v>-1559.1</v>
      </c>
      <c r="F17" s="16">
        <v>-1318.2</v>
      </c>
      <c r="G17" s="16">
        <v>-1430.6</v>
      </c>
      <c r="H17" s="16">
        <v>-1664.7</v>
      </c>
      <c r="I17" s="16">
        <f>'3 - Income Statement'!I8*'2 - Assumptions and Notes'!I17</f>
        <v>1482.350688</v>
      </c>
      <c r="J17" s="16">
        <f>'3 - Income Statement'!J8*'2 - Assumptions and Notes'!J17</f>
        <v>1543.1270662080001</v>
      </c>
      <c r="K17" s="16">
        <f>'3 - Income Statement'!K8*'2 - Assumptions and Notes'!K17</f>
        <v>1606.3952759225281</v>
      </c>
      <c r="L17" s="16">
        <f>'3 - Income Statement'!L8*'2 - Assumptions and Notes'!L17</f>
        <v>1672.2574822353517</v>
      </c>
      <c r="M17" s="16">
        <f>'3 - Income Statement'!M8*'2 - Assumptions and Notes'!M17</f>
        <v>1740.8200390070012</v>
      </c>
      <c r="N17" s="16"/>
    </row>
    <row r="18" spans="1:14" ht="16" customHeight="1" x14ac:dyDescent="0.2">
      <c r="A18" s="22" t="s">
        <v>91</v>
      </c>
      <c r="B18" s="16"/>
      <c r="C18" s="16"/>
      <c r="D18" s="16">
        <v>1987.3</v>
      </c>
      <c r="E18" s="16">
        <v>1847.1</v>
      </c>
      <c r="F18" s="16">
        <v>1267.4000000000001</v>
      </c>
      <c r="G18" s="16">
        <v>1067</v>
      </c>
      <c r="H18" s="16">
        <v>1279.4000000000001</v>
      </c>
      <c r="I18" s="16">
        <f>I16*'2 - Assumptions and Notes'!I11</f>
        <v>1438.9439999999995</v>
      </c>
      <c r="J18" s="16">
        <f>J16*'2 - Assumptions and Notes'!J11</f>
        <v>1444.1528025599996</v>
      </c>
      <c r="K18" s="16">
        <f>K16*'2 - Assumptions and Notes'!K11</f>
        <v>1456.0297141977599</v>
      </c>
      <c r="L18" s="16">
        <f>L16*'2 - Assumptions and Notes'!L11</f>
        <v>1474.0735816047322</v>
      </c>
      <c r="M18" s="16">
        <f>M16*'2 - Assumptions and Notes'!M11</f>
        <v>1497.8556496804065</v>
      </c>
      <c r="N18" s="16"/>
    </row>
    <row r="19" spans="1:14" ht="16" customHeight="1" x14ac:dyDescent="0.2">
      <c r="A19" s="26" t="s">
        <v>92</v>
      </c>
      <c r="B19" s="16"/>
      <c r="C19" s="16"/>
      <c r="D19" s="16">
        <f>SUM(D16:D18)</f>
        <v>12502.9</v>
      </c>
      <c r="E19" s="16">
        <f>SUM(E16:E18)</f>
        <v>12790.9</v>
      </c>
      <c r="F19" s="16">
        <f>SUM(F16:F18)</f>
        <v>12740.099999999999</v>
      </c>
      <c r="G19" s="16">
        <f>SUM(G16:G18)</f>
        <v>12376.499999999998</v>
      </c>
      <c r="H19" s="16">
        <f>SUM(H16:H18)</f>
        <v>11991.199999999997</v>
      </c>
      <c r="I19" s="16">
        <f>I16+I17-I18</f>
        <v>12034.606687999998</v>
      </c>
      <c r="J19" s="16">
        <f>J16+J17-J18</f>
        <v>12133.580951647999</v>
      </c>
      <c r="K19" s="16">
        <f>K16+K17-K18</f>
        <v>12283.946513372768</v>
      </c>
      <c r="L19" s="16">
        <f>L16+L17-L18</f>
        <v>12482.130414003388</v>
      </c>
      <c r="M19" s="16">
        <f>M16+M17-M18</f>
        <v>12725.094803329983</v>
      </c>
      <c r="N19" s="16"/>
    </row>
    <row r="20" spans="1:14" ht="16" customHeight="1" x14ac:dyDescent="0.2">
      <c r="A20" s="22"/>
      <c r="B20" s="16"/>
      <c r="C20" s="16"/>
      <c r="D20" s="16"/>
      <c r="E20" s="16"/>
      <c r="F20" s="16"/>
      <c r="G20" s="16"/>
      <c r="H20" s="16"/>
      <c r="I20" s="16"/>
      <c r="J20" s="16"/>
      <c r="K20" s="16"/>
      <c r="L20" s="16"/>
      <c r="M20" s="16"/>
      <c r="N20" s="16"/>
    </row>
    <row r="21" spans="1:14" ht="16" customHeight="1" x14ac:dyDescent="0.2">
      <c r="A21" s="25" t="s">
        <v>93</v>
      </c>
      <c r="B21" s="16"/>
      <c r="C21" s="16"/>
      <c r="D21" s="16"/>
      <c r="E21" s="16"/>
      <c r="F21" s="16"/>
      <c r="G21" s="16"/>
      <c r="H21" s="16"/>
      <c r="I21" s="16"/>
      <c r="J21" s="16"/>
      <c r="K21" s="16"/>
      <c r="L21" s="16"/>
      <c r="M21" s="16"/>
      <c r="N21" s="16"/>
    </row>
    <row r="22" spans="1:14" ht="16" customHeight="1" x14ac:dyDescent="0.2">
      <c r="A22" s="22" t="s">
        <v>94</v>
      </c>
      <c r="B22" s="16"/>
      <c r="C22" s="16"/>
      <c r="D22" s="16">
        <v>34296.6</v>
      </c>
      <c r="E22" s="16">
        <f>D25</f>
        <v>35878.699999999997</v>
      </c>
      <c r="F22" s="16">
        <f>E25</f>
        <v>34029.5</v>
      </c>
      <c r="G22" s="16">
        <f>F25</f>
        <v>34132.199999999997</v>
      </c>
      <c r="H22" s="16">
        <f>G25</f>
        <v>34775.599999999999</v>
      </c>
      <c r="I22" s="16">
        <v>33221.4</v>
      </c>
      <c r="J22" s="16">
        <f>I25</f>
        <v>32894.720000000001</v>
      </c>
      <c r="K22" s="16">
        <f>J25</f>
        <v>32568.04</v>
      </c>
      <c r="L22" s="16">
        <f>K25</f>
        <v>32241.360000000001</v>
      </c>
      <c r="M22" s="16">
        <f>L25</f>
        <v>31914.68</v>
      </c>
      <c r="N22" s="16"/>
    </row>
    <row r="23" spans="1:14" ht="16" customHeight="1" x14ac:dyDescent="0.2">
      <c r="A23" s="22" t="s">
        <v>76</v>
      </c>
      <c r="B23" s="5"/>
      <c r="C23" s="5"/>
      <c r="D23" s="16">
        <v>6150.7</v>
      </c>
      <c r="E23" s="16">
        <v>8326.4</v>
      </c>
      <c r="F23" s="16">
        <v>4877.5</v>
      </c>
      <c r="G23" s="16">
        <v>4981.8999999999996</v>
      </c>
      <c r="H23" s="16">
        <v>5025.8</v>
      </c>
      <c r="I23" s="16">
        <v>5872.46</v>
      </c>
      <c r="J23" s="16">
        <v>5872.46</v>
      </c>
      <c r="K23" s="16">
        <v>5872.46</v>
      </c>
      <c r="L23" s="16">
        <v>5872.46</v>
      </c>
      <c r="M23" s="16">
        <v>5872.46</v>
      </c>
      <c r="N23" s="16"/>
    </row>
    <row r="24" spans="1:14" ht="16" customHeight="1" x14ac:dyDescent="0.2">
      <c r="A24" s="22" t="s">
        <v>77</v>
      </c>
      <c r="B24" s="5"/>
      <c r="C24" s="5"/>
      <c r="D24" s="16">
        <v>-4568.6000000000004</v>
      </c>
      <c r="E24" s="16">
        <v>-10175.6</v>
      </c>
      <c r="F24" s="16">
        <v>-4774.8</v>
      </c>
      <c r="G24" s="16">
        <v>-4338.5</v>
      </c>
      <c r="H24" s="16">
        <v>-7138.2</v>
      </c>
      <c r="I24" s="16">
        <v>-6199.14</v>
      </c>
      <c r="J24" s="16">
        <v>-6199.14</v>
      </c>
      <c r="K24" s="16">
        <v>-6199.14</v>
      </c>
      <c r="L24" s="16">
        <v>-6199.14</v>
      </c>
      <c r="M24" s="16">
        <v>-6199.14</v>
      </c>
      <c r="N24" s="16"/>
    </row>
    <row r="25" spans="1:14" ht="16" customHeight="1" x14ac:dyDescent="0.2">
      <c r="A25" s="26" t="s">
        <v>95</v>
      </c>
      <c r="B25" s="16"/>
      <c r="C25" s="16"/>
      <c r="D25" s="16">
        <f t="shared" ref="D25:M25" si="1">SUM(D22:D24)</f>
        <v>35878.699999999997</v>
      </c>
      <c r="E25" s="16">
        <f t="shared" si="1"/>
        <v>34029.5</v>
      </c>
      <c r="F25" s="16">
        <f t="shared" si="1"/>
        <v>34132.199999999997</v>
      </c>
      <c r="G25" s="16">
        <f t="shared" si="1"/>
        <v>34775.599999999999</v>
      </c>
      <c r="H25" s="16">
        <f t="shared" si="1"/>
        <v>32663.200000000001</v>
      </c>
      <c r="I25" s="16">
        <f t="shared" si="1"/>
        <v>32894.720000000001</v>
      </c>
      <c r="J25" s="16">
        <f t="shared" si="1"/>
        <v>32568.04</v>
      </c>
      <c r="K25" s="16">
        <f t="shared" si="1"/>
        <v>32241.360000000001</v>
      </c>
      <c r="L25" s="16">
        <f t="shared" si="1"/>
        <v>31914.68</v>
      </c>
      <c r="M25" s="16">
        <f t="shared" si="1"/>
        <v>31588</v>
      </c>
      <c r="N25" s="16"/>
    </row>
    <row r="26" spans="1:14" ht="16" customHeight="1" x14ac:dyDescent="0.2">
      <c r="A26" s="22" t="s">
        <v>35</v>
      </c>
      <c r="B26" s="16"/>
      <c r="C26" s="16"/>
      <c r="D26" s="16">
        <f>'3 - Income Statement'!D15</f>
        <v>-1230.5999999999999</v>
      </c>
      <c r="E26" s="16">
        <f>'3 - Income Statement'!E15</f>
        <v>883.60000000000036</v>
      </c>
      <c r="F26" s="16">
        <f>'3 - Income Statement'!F15</f>
        <v>-716</v>
      </c>
      <c r="G26" s="16">
        <f>'3 - Income Statement'!G15</f>
        <v>-1976.1</v>
      </c>
      <c r="H26" s="16">
        <f>'3 - Income Statement'!H15</f>
        <v>-1683</v>
      </c>
      <c r="I26" s="16">
        <v>-930.2</v>
      </c>
      <c r="J26" s="16">
        <v>-921.05</v>
      </c>
      <c r="K26" s="16">
        <v>-911.91</v>
      </c>
      <c r="L26" s="16">
        <v>-902.76</v>
      </c>
      <c r="M26" s="16">
        <v>-893.61</v>
      </c>
      <c r="N26" s="16"/>
    </row>
    <row r="27" spans="1:14" x14ac:dyDescent="0.15">
      <c r="A27" s="16"/>
      <c r="B27" s="16"/>
      <c r="C27" s="16"/>
      <c r="D27" s="16"/>
      <c r="E27" s="16"/>
      <c r="F27" s="16"/>
      <c r="G27" s="16"/>
      <c r="H27" s="16"/>
      <c r="I27" s="16"/>
      <c r="J27" s="16"/>
      <c r="K27" s="16"/>
      <c r="L27" s="16"/>
      <c r="M27" s="16"/>
      <c r="N27" s="16"/>
    </row>
    <row r="28" spans="1:14" x14ac:dyDescent="0.15">
      <c r="A28" s="16"/>
      <c r="B28" s="16"/>
      <c r="C28" s="16"/>
      <c r="D28" s="16"/>
      <c r="E28" s="16"/>
      <c r="F28" s="16"/>
      <c r="G28" s="16"/>
      <c r="H28" s="16"/>
      <c r="I28" s="16"/>
      <c r="J28" s="16"/>
      <c r="K28" s="16"/>
      <c r="L28" s="16"/>
      <c r="M28" s="16"/>
      <c r="N28" s="16"/>
    </row>
    <row r="29" spans="1:14" x14ac:dyDescent="0.15">
      <c r="A29" s="16"/>
      <c r="B29" s="16"/>
      <c r="C29" s="16"/>
      <c r="D29" s="16"/>
      <c r="E29" s="16"/>
      <c r="F29" s="16"/>
      <c r="G29" s="16"/>
      <c r="H29" s="16"/>
      <c r="I29" s="16"/>
      <c r="J29" s="16"/>
      <c r="K29" s="16"/>
      <c r="L29" s="16"/>
      <c r="M29" s="16"/>
      <c r="N29" s="16"/>
    </row>
    <row r="30" spans="1:14" x14ac:dyDescent="0.15">
      <c r="A30" s="16"/>
      <c r="B30" s="16"/>
      <c r="C30" s="16"/>
      <c r="D30" s="16"/>
      <c r="E30" s="16"/>
      <c r="F30" s="16"/>
      <c r="G30" s="16"/>
      <c r="H30" s="16"/>
      <c r="I30" s="16"/>
      <c r="J30" s="16"/>
      <c r="K30" s="16"/>
      <c r="L30" s="16"/>
      <c r="M30" s="16"/>
      <c r="N30" s="16"/>
    </row>
    <row r="31" spans="1:14" x14ac:dyDescent="0.15">
      <c r="A31" s="16"/>
      <c r="B31" s="16"/>
      <c r="C31" s="16"/>
      <c r="D31" s="16"/>
      <c r="E31" s="16"/>
      <c r="F31" s="16"/>
      <c r="G31" s="16"/>
      <c r="H31" s="16"/>
      <c r="I31" s="16"/>
      <c r="J31" s="16"/>
      <c r="K31" s="16"/>
      <c r="L31" s="16"/>
      <c r="M31" s="16"/>
      <c r="N31" s="16"/>
    </row>
    <row r="32" spans="1:14" x14ac:dyDescent="0.15">
      <c r="A32" s="16"/>
      <c r="B32" s="16"/>
      <c r="C32" s="16"/>
      <c r="D32" s="16"/>
      <c r="E32" s="16"/>
      <c r="F32" s="16"/>
      <c r="G32" s="16"/>
      <c r="H32" s="16"/>
      <c r="I32" s="16"/>
      <c r="J32" s="16"/>
      <c r="K32" s="16"/>
      <c r="L32" s="16"/>
      <c r="M32" s="16"/>
      <c r="N32" s="16"/>
    </row>
    <row r="33" spans="1:14" x14ac:dyDescent="0.15">
      <c r="A33" s="16"/>
      <c r="B33" s="16"/>
      <c r="C33" s="16"/>
      <c r="D33" s="16"/>
      <c r="E33" s="16"/>
      <c r="F33" s="16"/>
      <c r="G33" s="16"/>
      <c r="H33" s="16"/>
      <c r="I33" s="16"/>
      <c r="J33" s="16"/>
      <c r="K33" s="16"/>
      <c r="L33" s="16"/>
      <c r="M33" s="16"/>
      <c r="N33" s="16"/>
    </row>
    <row r="34" spans="1:14" x14ac:dyDescent="0.15">
      <c r="A34" s="16"/>
      <c r="B34" s="16"/>
      <c r="C34" s="16"/>
      <c r="D34" s="16"/>
      <c r="E34" s="16"/>
      <c r="F34" s="16"/>
      <c r="G34" s="16"/>
      <c r="H34" s="16"/>
      <c r="I34" s="16"/>
      <c r="J34" s="16"/>
      <c r="K34" s="16"/>
      <c r="L34" s="16"/>
      <c r="M34" s="16"/>
      <c r="N34" s="16"/>
    </row>
    <row r="35" spans="1:14" x14ac:dyDescent="0.15">
      <c r="A35" s="16"/>
      <c r="B35" s="16"/>
      <c r="C35" s="16"/>
      <c r="D35" s="16"/>
      <c r="E35" s="16"/>
      <c r="F35" s="16"/>
      <c r="G35" s="16"/>
      <c r="H35" s="16"/>
      <c r="I35" s="16"/>
      <c r="J35" s="16"/>
      <c r="K35" s="16"/>
      <c r="L35" s="16"/>
      <c r="M35" s="16"/>
      <c r="N35" s="16"/>
    </row>
    <row r="36" spans="1:14" x14ac:dyDescent="0.15">
      <c r="A36" s="16"/>
      <c r="B36" s="16"/>
      <c r="C36" s="16"/>
      <c r="D36" s="16"/>
      <c r="E36" s="16"/>
      <c r="F36" s="16"/>
      <c r="G36" s="16"/>
      <c r="H36" s="16"/>
      <c r="I36" s="16"/>
      <c r="J36" s="16"/>
      <c r="K36" s="16"/>
      <c r="L36" s="16"/>
      <c r="M36" s="16"/>
      <c r="N36" s="16"/>
    </row>
    <row r="37" spans="1:14" x14ac:dyDescent="0.15">
      <c r="A37" s="16"/>
      <c r="B37" s="16"/>
      <c r="C37" s="16"/>
      <c r="D37" s="16"/>
      <c r="E37" s="16"/>
      <c r="F37" s="16"/>
      <c r="G37" s="16"/>
      <c r="H37" s="16"/>
      <c r="I37" s="16"/>
      <c r="J37" s="16"/>
      <c r="K37" s="16"/>
      <c r="L37" s="16"/>
      <c r="M37" s="16"/>
      <c r="N37" s="16"/>
    </row>
    <row r="38" spans="1:14" x14ac:dyDescent="0.15">
      <c r="A38" s="16"/>
      <c r="B38" s="16"/>
      <c r="C38" s="16"/>
      <c r="D38" s="16"/>
      <c r="E38" s="16"/>
      <c r="F38" s="16"/>
      <c r="G38" s="16"/>
      <c r="H38" s="16"/>
      <c r="I38" s="16"/>
      <c r="J38" s="16"/>
      <c r="K38" s="16"/>
      <c r="L38" s="16"/>
      <c r="M38" s="16"/>
      <c r="N38" s="16"/>
    </row>
    <row r="39" spans="1:14" x14ac:dyDescent="0.15">
      <c r="A39" s="16"/>
      <c r="B39" s="16"/>
      <c r="C39" s="16"/>
      <c r="D39" s="16"/>
      <c r="E39" s="16"/>
      <c r="F39" s="16"/>
      <c r="G39" s="16"/>
      <c r="H39" s="16"/>
      <c r="I39" s="16"/>
      <c r="J39" s="16"/>
      <c r="K39" s="16"/>
      <c r="L39" s="16"/>
      <c r="M39" s="16"/>
      <c r="N39" s="16"/>
    </row>
    <row r="40" spans="1:14" x14ac:dyDescent="0.15">
      <c r="A40" s="20"/>
      <c r="B40" s="20"/>
      <c r="C40" s="20"/>
      <c r="D40" s="20"/>
      <c r="E40" s="20"/>
      <c r="F40" s="20"/>
      <c r="G40" s="20"/>
      <c r="H40" s="20"/>
      <c r="I40" s="20"/>
      <c r="J40" s="20"/>
      <c r="K40" s="20"/>
      <c r="L40" s="20"/>
      <c r="M40" s="21" t="s">
        <v>4</v>
      </c>
      <c r="N40" s="20">
        <v>1</v>
      </c>
    </row>
  </sheetData>
  <mergeCells count="8">
    <mergeCell ref="I4:M4"/>
    <mergeCell ref="G2:I2"/>
    <mergeCell ref="A1:D2"/>
    <mergeCell ref="E2:F2"/>
    <mergeCell ref="E1:F1"/>
    <mergeCell ref="J1:N2"/>
    <mergeCell ref="D4:H4"/>
    <mergeCell ref="G1:I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1 - Cover</vt:lpstr>
      <vt:lpstr>2 - Assumptions and Notes</vt:lpstr>
      <vt:lpstr>3 - Income Statement</vt:lpstr>
      <vt:lpstr>4 - Balance Sheet</vt:lpstr>
      <vt:lpstr>5 - Cashflow Statement</vt:lpstr>
      <vt:lpstr>6 - Supporting Schedules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Nideeshwaran Chandrasekar</dc:creator>
  <cp:lastModifiedBy>Nideeshwaran Chandrasekar</cp:lastModifiedBy>
  <dcterms:created xsi:type="dcterms:W3CDTF">2026-05-16T16:08:33Z</dcterms:created>
  <dcterms:modified xsi:type="dcterms:W3CDTF">2026-05-18T17:51:05Z</dcterms:modified>
</cp:coreProperties>
</file>